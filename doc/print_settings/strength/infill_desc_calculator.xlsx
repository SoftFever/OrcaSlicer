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hidePivotFieldList="1" defaultThemeVersion="202300"/>
  <mc:AlternateContent xmlns:mc="http://schemas.openxmlformats.org/markup-compatibility/2006">
    <mc:Choice Requires="x15">
      <x15ac:absPath xmlns:x15ac="http://schemas.microsoft.com/office/spreadsheetml/2010/11/ac" url="N:\Repos\OrcaSlicer\doc\print_settings\strength\"/>
    </mc:Choice>
  </mc:AlternateContent>
  <xr:revisionPtr revIDLastSave="0" documentId="13_ncr:1_{63CE31F7-C68A-40EF-8407-A4BE7A4FE9BE}" xr6:coauthVersionLast="47" xr6:coauthVersionMax="47" xr10:uidLastSave="{00000000-0000-0000-0000-000000000000}"/>
  <bookViews>
    <workbookView xWindow="-120" yWindow="-120" windowWidth="38640" windowHeight="21240" xr2:uid="{F7BCEEB8-8D62-4686-9FA1-C052039D2FF8}"/>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 i="1" l="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I14" i="1"/>
  <c r="AI15" i="1"/>
  <c r="AI29" i="1"/>
  <c r="AI30" i="1"/>
  <c r="AI31" i="1"/>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K2" i="1"/>
  <c r="AK3" i="1"/>
  <c r="AK4" i="1"/>
  <c r="AK5" i="1"/>
  <c r="AK6" i="1"/>
  <c r="AK7" i="1"/>
  <c r="AK8" i="1"/>
  <c r="AK9" i="1"/>
  <c r="AK10" i="1"/>
  <c r="AK11" i="1"/>
  <c r="AK12" i="1"/>
  <c r="AK13" i="1"/>
  <c r="AK14" i="1"/>
  <c r="AK15" i="1"/>
  <c r="AK16" i="1"/>
  <c r="AK17" i="1"/>
  <c r="AK18" i="1"/>
  <c r="AK19" i="1"/>
  <c r="AK20" i="1"/>
  <c r="AK21" i="1"/>
  <c r="AK22" i="1"/>
  <c r="AK23" i="1"/>
  <c r="AK24" i="1"/>
  <c r="AK25" i="1"/>
  <c r="AK26" i="1"/>
  <c r="AK27" i="1"/>
  <c r="AK28" i="1"/>
  <c r="AK29" i="1"/>
  <c r="AK30" i="1"/>
  <c r="AK31" i="1"/>
  <c r="AJ2" i="1"/>
  <c r="AJ3" i="1"/>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P29" i="1"/>
  <c r="R29" i="1"/>
  <c r="W29" i="1"/>
  <c r="X29" i="1" s="1"/>
  <c r="Y29" i="1"/>
  <c r="AB29" i="1" s="1"/>
  <c r="AE29" i="1"/>
  <c r="AH29" i="1" s="1"/>
  <c r="P30" i="1"/>
  <c r="R30" i="1"/>
  <c r="W30" i="1"/>
  <c r="X30" i="1" s="1"/>
  <c r="Y30" i="1"/>
  <c r="AB30" i="1" s="1"/>
  <c r="AE30" i="1"/>
  <c r="AH30" i="1" s="1"/>
  <c r="P31" i="1"/>
  <c r="R31" i="1"/>
  <c r="W31" i="1"/>
  <c r="X31" i="1" s="1"/>
  <c r="Y31" i="1"/>
  <c r="AB31" i="1" s="1"/>
  <c r="AE31" i="1"/>
  <c r="AH31" i="1" s="1"/>
  <c r="P15" i="1"/>
  <c r="R15" i="1"/>
  <c r="W15" i="1"/>
  <c r="X15" i="1" s="1"/>
  <c r="Y15" i="1"/>
  <c r="AB15" i="1" s="1"/>
  <c r="AE15" i="1"/>
  <c r="AH15" i="1" s="1"/>
  <c r="P14" i="1"/>
  <c r="R14" i="1"/>
  <c r="W14" i="1"/>
  <c r="X14" i="1" s="1"/>
  <c r="Y14" i="1"/>
  <c r="AB14" i="1" s="1"/>
  <c r="AE14" i="1"/>
  <c r="AH14" i="1" s="1"/>
  <c r="P28" i="1"/>
  <c r="R28" i="1"/>
  <c r="W28" i="1"/>
  <c r="X28" i="1" s="1"/>
  <c r="Y28" i="1"/>
  <c r="AE28" i="1"/>
  <c r="AH28" i="1" s="1"/>
  <c r="P27" i="1"/>
  <c r="R27" i="1"/>
  <c r="W27" i="1"/>
  <c r="X27" i="1" s="1"/>
  <c r="Y27" i="1"/>
  <c r="AE27" i="1"/>
  <c r="AH27" i="1" s="1"/>
  <c r="P26" i="1"/>
  <c r="R26" i="1"/>
  <c r="W26" i="1"/>
  <c r="X26" i="1" s="1"/>
  <c r="Y26" i="1"/>
  <c r="AB26" i="1" s="1"/>
  <c r="AE26" i="1"/>
  <c r="AH26" i="1" s="1"/>
  <c r="R2" i="1"/>
  <c r="R3" i="1"/>
  <c r="R4" i="1"/>
  <c r="R5" i="1"/>
  <c r="R6" i="1"/>
  <c r="R7" i="1"/>
  <c r="R8" i="1"/>
  <c r="R9" i="1"/>
  <c r="R10" i="1"/>
  <c r="R11" i="1"/>
  <c r="R12" i="1"/>
  <c r="R13" i="1"/>
  <c r="R16" i="1"/>
  <c r="R17" i="1"/>
  <c r="R18" i="1"/>
  <c r="R19" i="1"/>
  <c r="R20" i="1"/>
  <c r="R21" i="1"/>
  <c r="R22" i="1"/>
  <c r="R23" i="1"/>
  <c r="R24" i="1"/>
  <c r="R25" i="1"/>
  <c r="P2" i="1"/>
  <c r="P3" i="1"/>
  <c r="P4" i="1"/>
  <c r="P5" i="1"/>
  <c r="P6" i="1"/>
  <c r="P7" i="1"/>
  <c r="P8" i="1"/>
  <c r="P9" i="1"/>
  <c r="P10" i="1"/>
  <c r="P11" i="1"/>
  <c r="P12" i="1"/>
  <c r="P13" i="1"/>
  <c r="P16" i="1"/>
  <c r="P17" i="1"/>
  <c r="P18" i="1"/>
  <c r="P19" i="1"/>
  <c r="P20" i="1"/>
  <c r="P21" i="1"/>
  <c r="P22" i="1"/>
  <c r="P23" i="1"/>
  <c r="P24" i="1"/>
  <c r="P25" i="1"/>
  <c r="AE2" i="1"/>
  <c r="AH2" i="1" s="1"/>
  <c r="AE3" i="1"/>
  <c r="AH3" i="1" s="1"/>
  <c r="AE4" i="1"/>
  <c r="AH4" i="1" s="1"/>
  <c r="AE5" i="1"/>
  <c r="AH5" i="1" s="1"/>
  <c r="AE6" i="1"/>
  <c r="AH6" i="1" s="1"/>
  <c r="AE7" i="1"/>
  <c r="AH7" i="1" s="1"/>
  <c r="AE8" i="1"/>
  <c r="AH8" i="1" s="1"/>
  <c r="AE9" i="1"/>
  <c r="AH9" i="1" s="1"/>
  <c r="AE10" i="1"/>
  <c r="AH10" i="1" s="1"/>
  <c r="AE11" i="1"/>
  <c r="AH11" i="1" s="1"/>
  <c r="AE12" i="1"/>
  <c r="AH12" i="1" s="1"/>
  <c r="AE13" i="1"/>
  <c r="AH13" i="1" s="1"/>
  <c r="AE16" i="1"/>
  <c r="AH16" i="1" s="1"/>
  <c r="AE17" i="1"/>
  <c r="AH17" i="1" s="1"/>
  <c r="AE18" i="1"/>
  <c r="AH18" i="1" s="1"/>
  <c r="AE19" i="1"/>
  <c r="AH19" i="1" s="1"/>
  <c r="AE20" i="1"/>
  <c r="AH20" i="1" s="1"/>
  <c r="AE21" i="1"/>
  <c r="AH21" i="1" s="1"/>
  <c r="AE22" i="1"/>
  <c r="AH22" i="1" s="1"/>
  <c r="AE23" i="1"/>
  <c r="AH23" i="1" s="1"/>
  <c r="AE24" i="1"/>
  <c r="AH24" i="1" s="1"/>
  <c r="AE25" i="1"/>
  <c r="AH25" i="1" s="1"/>
  <c r="W3" i="1"/>
  <c r="X3" i="1" s="1"/>
  <c r="W4" i="1"/>
  <c r="X4" i="1" s="1"/>
  <c r="W5" i="1"/>
  <c r="X5" i="1" s="1"/>
  <c r="W6" i="1"/>
  <c r="X6" i="1" s="1"/>
  <c r="W7" i="1"/>
  <c r="X7" i="1" s="1"/>
  <c r="W8" i="1"/>
  <c r="X8" i="1" s="1"/>
  <c r="W9" i="1"/>
  <c r="X9" i="1" s="1"/>
  <c r="W10" i="1"/>
  <c r="X10" i="1" s="1"/>
  <c r="W11" i="1"/>
  <c r="X11" i="1" s="1"/>
  <c r="W12" i="1"/>
  <c r="X12" i="1" s="1"/>
  <c r="W13" i="1"/>
  <c r="X13" i="1" s="1"/>
  <c r="W16" i="1"/>
  <c r="X16" i="1" s="1"/>
  <c r="W17" i="1"/>
  <c r="X17" i="1" s="1"/>
  <c r="W18" i="1"/>
  <c r="X18" i="1" s="1"/>
  <c r="W19" i="1"/>
  <c r="X19" i="1" s="1"/>
  <c r="W20" i="1"/>
  <c r="X20" i="1" s="1"/>
  <c r="W21" i="1"/>
  <c r="X21" i="1" s="1"/>
  <c r="W22" i="1"/>
  <c r="X22" i="1" s="1"/>
  <c r="W23" i="1"/>
  <c r="X23" i="1" s="1"/>
  <c r="W24" i="1"/>
  <c r="X24" i="1" s="1"/>
  <c r="W25" i="1"/>
  <c r="X25" i="1" s="1"/>
  <c r="W2" i="1"/>
  <c r="X2" i="1" s="1"/>
  <c r="Y17" i="1"/>
  <c r="Y2" i="1"/>
  <c r="AB2" i="1" s="1"/>
  <c r="Y3" i="1"/>
  <c r="AB3" i="1" s="1"/>
  <c r="Y4" i="1"/>
  <c r="AB4" i="1" s="1"/>
  <c r="Y5" i="1"/>
  <c r="AB5" i="1" s="1"/>
  <c r="Y6" i="1"/>
  <c r="AB6" i="1" s="1"/>
  <c r="Y7" i="1"/>
  <c r="AB7" i="1" s="1"/>
  <c r="Y8" i="1"/>
  <c r="AB8" i="1" s="1"/>
  <c r="Y9" i="1"/>
  <c r="AB9" i="1" s="1"/>
  <c r="Y10" i="1"/>
  <c r="AB10" i="1" s="1"/>
  <c r="Y11" i="1"/>
  <c r="AB11" i="1" s="1"/>
  <c r="Y12" i="1"/>
  <c r="AB12" i="1" s="1"/>
  <c r="Y13" i="1"/>
  <c r="AB13" i="1" s="1"/>
  <c r="Y16" i="1"/>
  <c r="AB16" i="1" s="1"/>
  <c r="Y18" i="1"/>
  <c r="AB18" i="1" s="1"/>
  <c r="Y19" i="1"/>
  <c r="AB19" i="1" s="1"/>
  <c r="Y20" i="1"/>
  <c r="AB20" i="1" s="1"/>
  <c r="Y21" i="1"/>
  <c r="AB21" i="1" s="1"/>
  <c r="Y22" i="1"/>
  <c r="AB22" i="1" s="1"/>
  <c r="Y23" i="1"/>
  <c r="AB23" i="1" s="1"/>
  <c r="Y24" i="1"/>
  <c r="AB24" i="1" s="1"/>
  <c r="Y25" i="1"/>
  <c r="AB25" i="1" s="1"/>
  <c r="Z29" i="1" l="1"/>
  <c r="AA29" i="1" s="1"/>
  <c r="Z30" i="1"/>
  <c r="AA30" i="1" s="1"/>
  <c r="Z31" i="1"/>
  <c r="AA31" i="1" s="1"/>
  <c r="Z15" i="1"/>
  <c r="AA15" i="1" s="1"/>
  <c r="Z14" i="1"/>
  <c r="AA14" i="1" s="1"/>
  <c r="Z17" i="1"/>
  <c r="Z20" i="1"/>
  <c r="Z5" i="1"/>
  <c r="Z25" i="1"/>
  <c r="Z21" i="1"/>
  <c r="Z7" i="1"/>
  <c r="Z3" i="1"/>
  <c r="Z6" i="1"/>
  <c r="Z18" i="1"/>
  <c r="Z4" i="1"/>
  <c r="Z2" i="1"/>
  <c r="Z26" i="1"/>
  <c r="AA26" i="1" s="1"/>
  <c r="Z12" i="1"/>
  <c r="Z11" i="1"/>
  <c r="Z27" i="1"/>
  <c r="AA27" i="1" s="1"/>
  <c r="Z24" i="1"/>
  <c r="Z10" i="1"/>
  <c r="Z16" i="1"/>
  <c r="Z23" i="1"/>
  <c r="Z9" i="1"/>
  <c r="Z28" i="1"/>
  <c r="AA28" i="1" s="1"/>
  <c r="Z13" i="1"/>
  <c r="Z22" i="1"/>
  <c r="Z8" i="1"/>
  <c r="Z19" i="1"/>
  <c r="AB28" i="1"/>
  <c r="AB27" i="1"/>
  <c r="AB17" i="1"/>
  <c r="AC27" i="1" l="1"/>
  <c r="AD27" i="1" s="1"/>
  <c r="AI27" i="1" s="1"/>
  <c r="AC30" i="1"/>
  <c r="AD30" i="1" s="1"/>
  <c r="AC29" i="1"/>
  <c r="AD29" i="1" s="1"/>
  <c r="AC31" i="1"/>
  <c r="AD31" i="1" s="1"/>
  <c r="AC15" i="1"/>
  <c r="AD15" i="1" s="1"/>
  <c r="AC22" i="1"/>
  <c r="AD22" i="1" s="1"/>
  <c r="AC14" i="1"/>
  <c r="AD14" i="1" s="1"/>
  <c r="AC6" i="1"/>
  <c r="AD6" i="1" s="1"/>
  <c r="AC17" i="1"/>
  <c r="AD17" i="1" s="1"/>
  <c r="AC21" i="1"/>
  <c r="AD21" i="1" s="1"/>
  <c r="AC28" i="1"/>
  <c r="AD28" i="1" s="1"/>
  <c r="AI28" i="1" s="1"/>
  <c r="AC26" i="1"/>
  <c r="AD26" i="1" s="1"/>
  <c r="AI26" i="1" s="1"/>
  <c r="AC24" i="1"/>
  <c r="AD24" i="1" s="1"/>
  <c r="AC8" i="1"/>
  <c r="AD8" i="1" s="1"/>
  <c r="AC11" i="1"/>
  <c r="AD11" i="1" s="1"/>
  <c r="AC9" i="1"/>
  <c r="AD9" i="1" s="1"/>
  <c r="AC12" i="1"/>
  <c r="AD12" i="1" s="1"/>
  <c r="AC10" i="1"/>
  <c r="AD10" i="1" s="1"/>
  <c r="AC2" i="1"/>
  <c r="AD2" i="1" s="1"/>
  <c r="AC25" i="1"/>
  <c r="AD25" i="1" s="1"/>
  <c r="AC3" i="1"/>
  <c r="AD3" i="1" s="1"/>
  <c r="AC13" i="1"/>
  <c r="AD13" i="1" s="1"/>
  <c r="AC16" i="1"/>
  <c r="AD16" i="1" s="1"/>
  <c r="AC4" i="1"/>
  <c r="AD4" i="1" s="1"/>
  <c r="AC18" i="1"/>
  <c r="AD18" i="1" s="1"/>
  <c r="AC20" i="1"/>
  <c r="AD20" i="1" s="1"/>
  <c r="AC19" i="1"/>
  <c r="AD19" i="1" s="1"/>
  <c r="AC7" i="1"/>
  <c r="AD7" i="1" s="1"/>
  <c r="AC5" i="1"/>
  <c r="AD5" i="1" s="1"/>
  <c r="AC23" i="1"/>
  <c r="AD23" i="1" s="1"/>
  <c r="AA20" i="1"/>
  <c r="AA10" i="1"/>
  <c r="AA5" i="1"/>
  <c r="AA7" i="1"/>
  <c r="AA21" i="1"/>
  <c r="AA24" i="1"/>
  <c r="AA16" i="1"/>
  <c r="AA17" i="1"/>
  <c r="AA3" i="1"/>
  <c r="AA11" i="1"/>
  <c r="AI11" i="1" s="1"/>
  <c r="AA18" i="1"/>
  <c r="AA8" i="1"/>
  <c r="AI8" i="1" s="1"/>
  <c r="AA25" i="1"/>
  <c r="AA22" i="1"/>
  <c r="AI22" i="1" s="1"/>
  <c r="AA12" i="1"/>
  <c r="AA13" i="1"/>
  <c r="AA4" i="1"/>
  <c r="AA2" i="1"/>
  <c r="AA19" i="1"/>
  <c r="AA9" i="1"/>
  <c r="AA6" i="1"/>
  <c r="AA23" i="1"/>
  <c r="AI12" i="1" l="1"/>
  <c r="AI21" i="1"/>
  <c r="AI13" i="1"/>
  <c r="AI9" i="1"/>
  <c r="AI10" i="1"/>
  <c r="AI19" i="1"/>
  <c r="AI4" i="1"/>
  <c r="AI18" i="1"/>
  <c r="AI23" i="1"/>
  <c r="AI5" i="1"/>
  <c r="AI20" i="1"/>
  <c r="AI16" i="1"/>
  <c r="AI25" i="1"/>
  <c r="AI6" i="1"/>
  <c r="AI3" i="1"/>
  <c r="AI17" i="1"/>
  <c r="AI2" i="1"/>
  <c r="AI24" i="1"/>
  <c r="AI7" i="1"/>
</calcChain>
</file>

<file path=xl/sharedStrings.xml><?xml version="1.0" encoding="utf-8"?>
<sst xmlns="http://schemas.openxmlformats.org/spreadsheetml/2006/main" count="251" uniqueCount="209">
  <si>
    <t>Concentric</t>
  </si>
  <si>
    <t>Rectilinear</t>
  </si>
  <si>
    <t>Grid</t>
  </si>
  <si>
    <t>2D Lattice</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</si>
  <si>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</si>
  <si>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</si>
  <si>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</si>
  <si>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</si>
  <si>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</si>
  <si>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</si>
  <si>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</si>
  <si>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</si>
  <si>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</si>
  <si>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</si>
  <si>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</si>
  <si>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</si>
  <si>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</si>
  <si>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</si>
  <si>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</si>
  <si>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</si>
  <si>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min</t>
  </si>
  <si>
    <t>Material Usage</t>
  </si>
  <si>
    <t>High</t>
  </si>
  <si>
    <t>Low</t>
  </si>
  <si>
    <t>Normal</t>
  </si>
  <si>
    <t>Normal-Low</t>
  </si>
  <si>
    <t>Normal-High</t>
  </si>
  <si>
    <t>DensityCalc</t>
  </si>
  <si>
    <t>X-Y Strength</t>
  </si>
  <si>
    <t>Z Strength</t>
  </si>
  <si>
    <t>hs</t>
  </si>
  <si>
    <t>g</t>
  </si>
  <si>
    <t>Primitive Cube</t>
  </si>
  <si>
    <t>Layer Height</t>
  </si>
  <si>
    <t>Infill Density</t>
  </si>
  <si>
    <t>Anchor</t>
  </si>
  <si>
    <t>0.2mm</t>
  </si>
  <si>
    <t>Off</t>
  </si>
  <si>
    <t>ABS Density</t>
  </si>
  <si>
    <t>Param</t>
  </si>
  <si>
    <t>Value</t>
  </si>
  <si>
    <t>Desc</t>
  </si>
  <si>
    <t>image</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</si>
  <si>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</si>
  <si>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</si>
  <si>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</si>
  <si>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</si>
  <si>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</si>
  <si>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</si>
  <si>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</si>
  <si>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</si>
  <si>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</si>
  <si>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</si>
  <si>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</si>
  <si>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</si>
  <si>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</si>
  <si>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</si>
  <si>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</si>
  <si>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</si>
  <si>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</si>
  <si>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</si>
  <si>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</si>
  <si>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</si>
  <si>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</si>
  <si>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</si>
  <si>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</si>
  <si>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</si>
  <si>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</si>
  <si>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</si>
  <si>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</si>
  <si>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2D Honeycomb</t>
  </si>
  <si>
    <t>Ultra-Low</t>
  </si>
  <si>
    <t>Extra-Low</t>
  </si>
  <si>
    <t>Extra-High</t>
  </si>
  <si>
    <t>Ultra-High</t>
  </si>
  <si>
    <t>Esthetic pattern with low strength and high print time.</t>
  </si>
  <si>
    <t>Hilbert Curve is a space-filling curve that can be used to create a continuous infill pattern. It is known for its Esthetic appeal and ability to fill space efficiently.
Print speed is very low due to the complexity of the path, which can lead to longer print times. It is not recommended for structural parts but can be used for Esthetic purposes.</t>
  </si>
  <si>
    <t>Max %</t>
  </si>
  <si>
    <t>% Effective</t>
  </si>
  <si>
    <t>g/t prom</t>
  </si>
  <si>
    <t>t prom</t>
  </si>
  <si>
    <t xml:space="preserve"> % of  total infill volume</t>
  </si>
  <si>
    <t>Same as [Cubic](#cubic) but reduced in the center</t>
  </si>
  <si>
    <t>% of layer before top shell layers</t>
  </si>
  <si>
    <t>MD</t>
  </si>
  <si>
    <t>Current Order</t>
  </si>
  <si>
    <t>Zig Zag</t>
  </si>
  <si>
    <t>Locked Zag</t>
  </si>
  <si>
    <t>Same as [Zig Zag](#zig-zag) but increasing near walls</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</si>
  <si>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</si>
  <si>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</si>
  <si>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</si>
  <si>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</si>
  <si>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</si>
  <si>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</si>
  <si>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Vertical Honeycomb pattern. Acceptable torsional stiffness. Developed for low densities structures like wings. Improve over [2D Lattice](#2d-lattice) offers same performance with lower densities.This infill includes a Overhang angle parameter to improve the point of contact between layers and reduce the risk of delamination.</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</si>
  <si>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</si>
  <si>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</si>
  <si>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[rectilinear](#rectilinear) with consistent pattern between layers. Allows you to add a Symmetric infill Y axis for models with two symmetric parts.</t>
  </si>
  <si>
    <t>Similar to [Zig Zag](#zig-zag) but displacing each layer with Infill shift step parameter.</t>
  </si>
  <si>
    <t>Adaptive version of [Zig Zag](#zig-zag) adding an external skin texture to interlock layers and a low material skeleton.</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</si>
  <si>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</si>
  <si>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</si>
  <si>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</si>
  <si>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</si>
  <si>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ip2DLattice</t>
  </si>
  <si>
    <t>ipLine</t>
  </si>
  <si>
    <t>ipCubic</t>
  </si>
  <si>
    <t>ipTriangles</t>
  </si>
  <si>
    <t>ipStars</t>
  </si>
  <si>
    <t>ipGyroid</t>
  </si>
  <si>
    <t>ipTpmsD</t>
  </si>
  <si>
    <t>ipHoneycomb</t>
  </si>
  <si>
    <t>ipAdaptiveCubic</t>
  </si>
  <si>
    <t>ipMonotonic</t>
  </si>
  <si>
    <t>ipMonotonicLine</t>
  </si>
  <si>
    <t>ipAlignedRectilinear</t>
  </si>
  <si>
    <t>ip2DHoneycomb</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</si>
  <si>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</si>
  <si>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</si>
  <si>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</si>
  <si>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</si>
  <si>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</si>
  <si>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</si>
  <si>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</si>
  <si>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</si>
  <si>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</si>
  <si>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</si>
  <si>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</si>
  <si>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</si>
  <si>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</si>
  <si>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</si>
  <si>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</si>
  <si>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</si>
  <si>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Prints lines in a uniform direction for a smoother visual surface.</t>
  </si>
  <si>
    <t>Similar to Monotonic but avoids overlapping with the perimeter, reducing excess material at joints. May introduce visible seams.</t>
  </si>
  <si>
    <t>zig-zag</t>
  </si>
  <si>
    <t>concentric</t>
  </si>
  <si>
    <t>grid</t>
  </si>
  <si>
    <t>2dlattice</t>
  </si>
  <si>
    <t>line</t>
  </si>
  <si>
    <t>cubic</t>
  </si>
  <si>
    <t>triangles</t>
  </si>
  <si>
    <t>tri-hexagon</t>
  </si>
  <si>
    <t>gyroid</t>
  </si>
  <si>
    <t>tpmsd</t>
  </si>
  <si>
    <t>honeycomb</t>
  </si>
  <si>
    <t>adaptivecubic</t>
  </si>
  <si>
    <t>alignedrectilinear</t>
  </si>
  <si>
    <t>2dhoneycomb</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</si>
  <si>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</si>
  <si>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</si>
  <si>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</si>
  <si>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</si>
  <si>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</si>
  <si>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</si>
  <si>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</si>
  <si>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</si>
  <si>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</si>
  <si>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</si>
  <si>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</si>
  <si>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</si>
  <si>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</si>
  <si>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</si>
  <si>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</si>
  <si>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</si>
  <si>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</si>
  <si>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</si>
  <si>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</si>
  <si>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</si>
  <si>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</si>
  <si>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</si>
  <si>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</si>
  <si>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</si>
  <si>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2D</t>
  </si>
  <si>
    <t>TPMS</t>
  </si>
  <si>
    <t>Esthetic</t>
  </si>
  <si>
    <t>Support</t>
  </si>
  <si>
    <t>IanAlexis</t>
  </si>
  <si>
    <t>Discip</t>
  </si>
  <si>
    <t>SVG</t>
  </si>
  <si>
    <t>param_monotonic.svg</t>
  </si>
  <si>
    <t>param_monotonicline.svg</t>
  </si>
  <si>
    <t>param_concentric</t>
  </si>
  <si>
    <t>param_zig-zag</t>
  </si>
  <si>
    <t>param_grid</t>
  </si>
  <si>
    <t>param_2dlattice</t>
  </si>
  <si>
    <t>param_line</t>
  </si>
  <si>
    <t>param_cubic</t>
  </si>
  <si>
    <t>param_triangles</t>
  </si>
  <si>
    <t>param_tri-hexagon</t>
  </si>
  <si>
    <t>param_gyroid</t>
  </si>
  <si>
    <t>param_tpmsd</t>
  </si>
  <si>
    <t>param_honeycomb</t>
  </si>
  <si>
    <t>param_adaptivecubic</t>
  </si>
  <si>
    <t>param_alignedrectilinear</t>
  </si>
  <si>
    <t>param_2dhoneycomb</t>
  </si>
  <si>
    <t>param_3dhoneycomb</t>
  </si>
  <si>
    <t>param_hilbertcurve</t>
  </si>
  <si>
    <t>param_archimedeanchords</t>
  </si>
  <si>
    <t>param_octagramspiral</t>
  </si>
  <si>
    <t>param_supportcubic</t>
  </si>
  <si>
    <t>param_lightning</t>
  </si>
  <si>
    <t>param_crosshatch</t>
  </si>
  <si>
    <t>param_quartercubic</t>
  </si>
  <si>
    <t>param_zigzag</t>
  </si>
  <si>
    <t>param_lockedzag</t>
  </si>
  <si>
    <t>SVG Link</t>
  </si>
  <si>
    <t>param_crosszag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</si>
</sst>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cellXfs>
  <cellStyles count="2">
    <cellStyle name="Normal" xfId="0" builtinId="0"/>
    <cellStyle name="Porcentaje" xfId="1" builtinId="5"/>
  </cellStyles>
  <dxfs count="27">
    <dxf>
      <numFmt numFmtId="0" formatCode="General"/>
    </dxf>
    <dxf>
      <numFmt numFmtId="164" formatCode="0.0%"/>
    </dxf>
    <dxf>
      <numFmt numFmtId="0" formatCode="General"/>
    </dxf>
    <dxf>
      <numFmt numFmtId="0" formatCode="General"/>
    </dxf>
    <dxf>
      <numFmt numFmtId="0" formatCode="General"/>
    </dxf>
    <dxf>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numFmt numFmtId="2" formatCode="0.00"/>
    </dxf>
    <dxf>
      <numFmt numFmtId="0" formatCode="General"/>
    </dxf>
    <dxf>
      <font>
        <b val="0"/>
        <i val="0"/>
        <strike val="0"/>
        <condense val="0"/>
        <extend val="0"/>
        <outline val="0"/>
        <shadow val="0"/>
        <u val="none"/>
        <vertAlign val="baseline"/>
        <sz val="11"/>
        <color theme="1"/>
        <name val="Aptos Narrow"/>
        <family val="2"/>
        <scheme val="minor"/>
      </font>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L31">
  <autoFilter ref="E1:AL31" xr:uid="{14E0E815-2798-4AE1-A846-B8CADCC14BD7}">
    <filterColumn colId="3">
      <filters>
        <filter val="VERDADERO"/>
      </filters>
    </filterColumn>
  </autoFilter>
  <tableColumns count="34">
    <tableColumn id="22" xr3:uid="{8D3A2FCE-7458-4DCB-BCE6-4671B3808244}" name="Current Order"/>
    <tableColumn id="23" xr3:uid="{061A8DA1-BAF1-41F8-8DD1-5E8F3141DA90}" name="IanAlexis"/>
    <tableColumn id="31" xr3:uid="{C40B1FB3-44E4-4AFA-8D92-B417AEB106D7}" name="Discip"/>
    <tableColumn id="27" xr3:uid="{6EDDF2A1-C22E-40EB-B691-74F6EDAEF4D3}" name="Is Infill"/>
    <tableColumn id="28" xr3:uid="{B77876BB-7641-40A4-87A8-999F2ECFE38D}" name="Is Surface"/>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18" xr3:uid="{0AF02225-407A-4366-B524-2DC6A8FF6278}" name="Desc" dataDxfId="26" dataCellStyle="Porcentaje"/>
    <tableColumn id="9" xr3:uid="{EDA17F6B-F438-45F7-B1D4-D47E28684329}" name="XY-N" dataDxfId="25"/>
    <tableColumn id="17" xr3:uid="{94F205F5-D170-40A1-8C5F-879C636804AA}" name="X-Y Strength" dataDxfId="24">
      <calculatedColumnFormula>_xlfn.XLOOKUP(Infill[[#This Row],[XY-N]],Rating[N],Rating[Name])</calculatedColumnFormula>
    </tableColumn>
    <tableColumn id="20" xr3:uid="{E9317962-9E1D-4D5B-9028-66E03DB4FC89}" name="Z-N" dataDxfId="23"/>
    <tableColumn id="16" xr3:uid="{D6A80A00-4E52-418C-9F58-C091734E73D4}" name="Z Strength" dataDxfId="22">
      <calculatedColumnFormula>_xlfn.XLOOKUP(Infill[[#This Row],[Z-N]],Rating[N],Rating[Name])</calculatedColumnFormula>
    </tableColumn>
    <tableColumn id="15" xr3:uid="{A5F7A5DA-C5EE-4BAA-9BF1-1AF83AB88E06}" name="DensityCalc" dataDxfId="21" dataCellStyle="Porcentaje"/>
    <tableColumn id="5" xr3:uid="{CC2FB322-5D42-4375-BC4F-16927902366E}" name="hs"/>
    <tableColumn id="2" xr3:uid="{0B06FA91-5EDF-466A-8753-FFCA36B0EFB0}" name="min"/>
    <tableColumn id="3" xr3:uid="{E842218B-6949-43A1-A35A-6C35A7D812BB}" name="g" totalsRowFunction="average" totalsRowDxfId="20"/>
    <tableColumn id="4" xr3:uid="{55891199-0C82-4B3C-B416-4BE5775CD688}" name="% Effective" totalsRowFunction="average" dataDxfId="19" totalsRowDxfId="18" dataCellStyle="Porcentaje">
      <calculatedColumnFormula>Infill[[#This Row],[g]]/(997.25*0.15)</calculatedColumnFormula>
    </tableColumn>
    <tableColumn id="11" xr3:uid="{32CE485A-842B-45B3-8F5D-B93DF0C49C8F}" name="Material Usage" dataDxfId="17" dataCellStyle="Porcentaje">
      <calculatedColumnFormula>_xlfn.XLOOKUP(Infill[[#This Row],[% Effective]],Rating[Max %],Rating[Name],,1)</calculatedColumnFormula>
    </tableColumn>
    <tableColumn id="6" xr3:uid="{C7DC0832-87AA-48F2-8845-AAE7F7254500}" name="Total Time" totalsRowFunction="average" dataDxfId="16" totalsRowDxfId="15">
      <calculatedColumnFormula>Infill[[#This Row],[hs]]*60+Infill[[#This Row],[min]]</calculatedColumnFormula>
    </tableColumn>
    <tableColumn id="8" xr3:uid="{252F6390-A339-497F-955E-B7D85B035B56}" name="t prom" dataDxfId="14" dataCellStyle="Porcentaje">
      <calculatedColumnFormula>Infill[[#This Row],[Total Time]]/AVERAGEIFS(Infill[Total Time],Infill[Material Usage],"Normal")</calculatedColumnFormula>
    </tableColumn>
    <tableColumn id="12" xr3:uid="{0224A6DD-647D-41E2-B74E-256AAEBCEDB8}" name="Print Time" dataDxfId="13" dataCellStyle="Porcentaje">
      <calculatedColumnFormula>_xlfn.XLOOKUP(Infill[[#This Row],[t prom]],Rating[Max %],Rating[Name],,1)</calculatedColumnFormula>
    </tableColumn>
    <tableColumn id="7" xr3:uid="{3A33F243-4754-4015-A3B1-EEAA7B810730}" name="g/t" totalsRowFunction="average" dataDxfId="12" totalsRowDxfId="11" dataCellStyle="Porcentaje">
      <calculatedColumnFormula>Infill[[#This Row],[g]]/Infill[[#This Row],[Total Time]]</calculatedColumnFormula>
    </tableColumn>
    <tableColumn id="10" xr3:uid="{81F5FB07-EC80-4D98-B9AE-8EF8E1629F1A}" name="g/t prom" dataDxfId="10" dataCellStyle="Porcentaje">
      <calculatedColumnFormula>Infill[[#This Row],[g/t]]/AVERAGEIFS(Infill[g/t],Infill[Material Usage],"Normal")</calculatedColumnFormula>
    </tableColumn>
    <tableColumn id="13" xr3:uid="{F80BCD33-B1E3-433F-AF6D-F982D670E727}" name="Material/Time" dataDxfId="9" dataCellStyle="Porcentaje">
      <calculatedColumnFormula>_xlfn.XLOOKUP(Infill[[#This Row],[g/t prom]],Rating[Max %],Rating[Name],,1)</calculatedColumnFormula>
    </tableColumn>
    <tableColumn id="19" xr3:uid="{44AE3D7E-C8D1-4165-B6BD-E525E4F90672}" name="image" dataDxfId="8" dataCellStyle="Porcentaje">
      <calculatedColumnFormula>SUBSTITUTE(LOWER(Infill[[#This Row],[name]])," ","-")</calculatedColumnFormula>
    </tableColumn>
    <tableColumn id="33" xr3:uid="{9C188045-ECA6-4734-BC61-4D569A3256F0}" name="SVG" dataDxfId="7" dataCellStyle="Porcentaje"/>
    <tableColumn id="34" xr3:uid="{45B271D4-A035-4A01-B06E-E3B623BB568E}" name="SVG Link" dataDxfId="0">
      <calculatedColumnFormula>"!["&amp;Infill[[#This Row],[SVG]]&amp;"](https://github.com/SoftFever/OrcaSlicer/blob/main/resources/images/"&amp;Infill[[#This Row],[SVG]]&amp;".svg?raw=true)"</calculatedColumnFormula>
    </tableColumn>
    <tableColumn id="21" xr3:uid="{75AA760A-15C0-4692-B168-BF74BE6D50F6}" name="Pattern" dataDxfId="6" dataCellStyle="Porcentaje">
      <calculatedColumnFormula>"["&amp;Infill[[#This Row],[name]]&amp;"](#"&amp;Infill[[#This Row],[image]]&amp;")"</calculatedColumnFormula>
    </tableColumn>
    <tableColumn id="14" xr3:uid="{AE92B56B-1C4F-4A43-BC18-AFFF1480255E}" name="MD" dataDxfId="5" dataCellStyle="Porcentaje">
      <calculatedColumnFormula>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calculatedColumnFormula>
    </tableColumn>
    <tableColumn id="26" xr3:uid="{B5B3DE03-E8E0-4448-BA81-E5B849AC0415}" name="s_keys_map" dataDxfId="4" dataCellStyle="Porcentaje">
      <calculatedColumnFormula>IF(OR(Infill[[#This Row],[Is Infill]],Infill[[#This Row],[Is Surface]])," { """&amp;Infill[[#This Row],[infill]]&amp;""", "&amp;Infill[[#This Row],[ip]]&amp;" },","")</calculatedColumnFormula>
    </tableColumn>
    <tableColumn id="30" xr3:uid="{DF1D46A6-663C-4993-9678-9483ECBDC09A}" name="Enum Pattern" dataDxfId="3" dataCellStyle="Porcentaje">
      <calculatedColumnFormula>IF(OR(Infill[[#This Row],[Is Infill]],Infill[[#This Row],[Is Surface]]),"def-&gt;enum_values.push_back("""&amp;Infill[[#This Row],[infill]]&amp;""");","")</calculatedColumnFormula>
    </tableColumn>
    <tableColumn id="29" xr3:uid="{A375012B-C9F3-4FDF-8EA3-593D97EDEB2B}" name="Enum Pattern Names" dataDxfId="2"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9" totalsRowShown="0">
  <autoFilter ref="A1:B9"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1:C20" totalsRowShown="0">
  <autoFilter ref="A11:C20" xr:uid="{8371D3BF-96D7-48EB-82A0-8021F9AA952E}"/>
  <tableColumns count="3">
    <tableColumn id="1" xr3:uid="{1D00CA6A-CEDD-45A1-8BA8-6DB7769D516C}" name="N"/>
    <tableColumn id="2" xr3:uid="{3AC9B406-037B-4FD3-80D6-86F4D94EDB36}" name="Max %" dataDxfId="1" dataCellStyle="Porcentaje"/>
    <tableColumn id="3" xr3:uid="{18E14714-6899-4575-90B8-4F97863AF141}" name="Name"/>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AL31"/>
  <sheetViews>
    <sheetView tabSelected="1" zoomScale="85" zoomScaleNormal="85" workbookViewId="0">
      <selection activeCell="E1" sqref="E1"/>
    </sheetView>
  </sheetViews>
  <sheetFormatPr baseColWidth="10" defaultRowHeight="15" x14ac:dyDescent="0.25"/>
  <cols>
    <col min="1" max="1" width="22.42578125" bestFit="1" customWidth="1"/>
    <col min="2" max="2" width="31.5703125" bestFit="1" customWidth="1"/>
    <col min="3" max="3" width="20.7109375" bestFit="1" customWidth="1"/>
    <col min="5" max="5" width="15.85546875" bestFit="1" customWidth="1"/>
    <col min="6" max="6" width="17.28515625" bestFit="1" customWidth="1"/>
    <col min="7" max="7" width="13.140625" bestFit="1" customWidth="1"/>
    <col min="8" max="8" width="24.7109375" bestFit="1" customWidth="1"/>
    <col min="9" max="9" width="29.85546875" bestFit="1" customWidth="1"/>
    <col min="10" max="10" width="23.5703125" bestFit="1" customWidth="1"/>
    <col min="11" max="11" width="23.5703125" customWidth="1"/>
    <col min="12" max="12" width="24.7109375" bestFit="1" customWidth="1"/>
    <col min="13" max="13" width="21.85546875" bestFit="1" customWidth="1"/>
    <col min="14" max="14" width="29.42578125" bestFit="1" customWidth="1"/>
    <col min="15" max="15" width="56.140625" bestFit="1" customWidth="1"/>
    <col min="16" max="16" width="21.28515625" bestFit="1" customWidth="1"/>
    <col min="17" max="17" width="35" bestFit="1" customWidth="1"/>
    <col min="18" max="18" width="19" bestFit="1" customWidth="1"/>
    <col min="19" max="19" width="31" bestFit="1" customWidth="1"/>
    <col min="20" max="20" width="59.5703125" bestFit="1" customWidth="1"/>
    <col min="21" max="21" width="16.140625" bestFit="1" customWidth="1"/>
    <col min="22" max="22" width="17.85546875" bestFit="1" customWidth="1"/>
    <col min="23" max="23" width="14.42578125" bestFit="1" customWidth="1"/>
    <col min="24" max="24" width="31.5703125" bestFit="1" customWidth="1"/>
    <col min="25" max="25" width="35.5703125" bestFit="1" customWidth="1"/>
    <col min="26" max="26" width="28.7109375" bestFit="1" customWidth="1"/>
    <col min="27" max="27" width="23" bestFit="1" customWidth="1"/>
    <col min="28" max="28" width="29.28515625" bestFit="1" customWidth="1"/>
    <col min="29" max="29" width="18.42578125" bestFit="1" customWidth="1"/>
    <col min="30" max="30" width="27" bestFit="1" customWidth="1"/>
    <col min="31" max="31" width="34.42578125" bestFit="1" customWidth="1"/>
    <col min="32" max="32" width="23" bestFit="1" customWidth="1"/>
    <col min="33" max="33" width="23" customWidth="1"/>
    <col min="34" max="34" width="52.140625" bestFit="1" customWidth="1"/>
    <col min="35" max="35" width="50.42578125" customWidth="1"/>
    <col min="36" max="36" width="54.42578125" bestFit="1" customWidth="1"/>
    <col min="37" max="37" width="59.5703125" bestFit="1" customWidth="1"/>
    <col min="38" max="38" width="63.5703125" bestFit="1" customWidth="1"/>
    <col min="39" max="39" width="22.85546875" bestFit="1" customWidth="1"/>
    <col min="40" max="40" width="12.5703125" bestFit="1" customWidth="1"/>
  </cols>
  <sheetData>
    <row r="1" spans="1:38" x14ac:dyDescent="0.25">
      <c r="A1" t="s">
        <v>39</v>
      </c>
      <c r="B1" t="s">
        <v>40</v>
      </c>
      <c r="E1" t="s">
        <v>85</v>
      </c>
      <c r="F1" t="s">
        <v>178</v>
      </c>
      <c r="G1" t="s">
        <v>179</v>
      </c>
      <c r="H1" t="s">
        <v>166</v>
      </c>
      <c r="I1" t="s">
        <v>167</v>
      </c>
      <c r="J1" t="s">
        <v>133</v>
      </c>
      <c r="K1" t="s">
        <v>171</v>
      </c>
      <c r="L1" t="s">
        <v>132</v>
      </c>
      <c r="M1" t="s">
        <v>163</v>
      </c>
      <c r="N1" t="s">
        <v>41</v>
      </c>
      <c r="O1" t="s">
        <v>46</v>
      </c>
      <c r="P1" t="s">
        <v>28</v>
      </c>
      <c r="Q1" t="s">
        <v>47</v>
      </c>
      <c r="R1" t="s">
        <v>29</v>
      </c>
      <c r="S1" t="s">
        <v>27</v>
      </c>
      <c r="T1" t="s">
        <v>30</v>
      </c>
      <c r="U1" s="1" t="s">
        <v>20</v>
      </c>
      <c r="V1" t="s">
        <v>31</v>
      </c>
      <c r="W1" t="s">
        <v>78</v>
      </c>
      <c r="X1" t="s">
        <v>21</v>
      </c>
      <c r="Y1" s="1" t="s">
        <v>48</v>
      </c>
      <c r="Z1" t="s">
        <v>80</v>
      </c>
      <c r="AA1" t="s">
        <v>89</v>
      </c>
      <c r="AB1" t="s">
        <v>49</v>
      </c>
      <c r="AC1" t="s">
        <v>79</v>
      </c>
      <c r="AD1" t="s">
        <v>69</v>
      </c>
      <c r="AE1" t="s">
        <v>42</v>
      </c>
      <c r="AF1" t="s">
        <v>180</v>
      </c>
      <c r="AG1" t="s">
        <v>207</v>
      </c>
      <c r="AH1" t="s">
        <v>90</v>
      </c>
      <c r="AI1" t="s">
        <v>84</v>
      </c>
      <c r="AJ1" t="s">
        <v>170</v>
      </c>
      <c r="AK1" t="s">
        <v>168</v>
      </c>
      <c r="AL1" t="s">
        <v>169</v>
      </c>
    </row>
    <row r="2" spans="1:38" ht="75" x14ac:dyDescent="0.25">
      <c r="A2" t="s">
        <v>32</v>
      </c>
      <c r="B2" t="s">
        <v>50</v>
      </c>
      <c r="E2">
        <v>1</v>
      </c>
      <c r="F2">
        <v>11</v>
      </c>
      <c r="G2">
        <v>23</v>
      </c>
      <c r="H2" t="b">
        <v>1</v>
      </c>
      <c r="I2" t="b">
        <v>1</v>
      </c>
      <c r="J2" t="s">
        <v>0</v>
      </c>
      <c r="K2" t="s">
        <v>176</v>
      </c>
      <c r="L2" t="s">
        <v>102</v>
      </c>
      <c r="M2" t="s">
        <v>137</v>
      </c>
      <c r="N2" s="8" t="s">
        <v>56</v>
      </c>
      <c r="O2" s="5">
        <v>2</v>
      </c>
      <c r="P2" t="str">
        <f>_xlfn.XLOOKUP(Infill[[#This Row],[XY-N]],Rating[N],Rating[Name])</f>
        <v>Low</v>
      </c>
      <c r="Q2">
        <v>4</v>
      </c>
      <c r="R2" t="str">
        <f>_xlfn.XLOOKUP(Infill[[#This Row],[Z-N]],Rating[N],Rating[Name])</f>
        <v>Normal</v>
      </c>
      <c r="S2" s="2" t="s">
        <v>81</v>
      </c>
      <c r="T2">
        <v>8</v>
      </c>
      <c r="U2">
        <v>13</v>
      </c>
      <c r="V2">
        <v>158.77000000000001</v>
      </c>
      <c r="W2" s="2">
        <f>Infill[[#This Row],[g]]/(997.25*0.15)</f>
        <v>1.0613854767276678</v>
      </c>
      <c r="X2" s="2" t="str">
        <f>_xlfn.XLOOKUP(Infill[[#This Row],[% Effective]],Rating[Max %],Rating[Name],,1)</f>
        <v>Normal</v>
      </c>
      <c r="Y2">
        <f>Infill[[#This Row],[hs]]*60+Infill[[#This Row],[min]]</f>
        <v>493</v>
      </c>
      <c r="Z2" s="2">
        <f>Infill[[#This Row],[Total Time]]/AVERAGEIFS(Infill[Total Time],Infill[Material Usage],"Normal")</f>
        <v>0.92917369308600339</v>
      </c>
      <c r="AA2" s="2" t="str">
        <f>_xlfn.XLOOKUP(Infill[[#This Row],[t prom]],Rating[Max %],Rating[Name],,1)</f>
        <v>Normal</v>
      </c>
      <c r="AB2" s="3">
        <f>Infill[[#This Row],[g]]/Infill[[#This Row],[Total Time]]</f>
        <v>0.32204868154158217</v>
      </c>
      <c r="AC2" s="2">
        <f>Infill[[#This Row],[g/t]]/AVERAGEIFS(Infill[g/t],Infill[Material Usage],"Normal")</f>
        <v>1.1179101798703965</v>
      </c>
      <c r="AD2" t="str">
        <f>_xlfn.XLOOKUP(Infill[[#This Row],[g/t prom]],Rating[Max %],Rating[Name],,1)</f>
        <v>Normal-High</v>
      </c>
      <c r="AE2" s="2" t="str">
        <f>SUBSTITUTE(LOWER(Infill[[#This Row],[name]])," ","-")</f>
        <v>concentric</v>
      </c>
      <c r="AF2" t="s">
        <v>183</v>
      </c>
      <c r="AG2" t="str">
        <f>"!["&amp;Infill[[#This Row],[SVG]]&amp;"](https://github.com/SoftFever/OrcaSlicer/blob/main/resources/images/"&amp;Infill[[#This Row],[SVG]]&amp;".svg?raw=true)"</f>
        <v>![param_concentric](https://github.com/SoftFever/OrcaSlicer/blob/main/resources/images/param_concentric.svg?raw=true)</v>
      </c>
      <c r="AH2" s="2" t="str">
        <f>"["&amp;Infill[[#This Row],[name]]&amp;"](#"&amp;Infill[[#This Row],[image]]&amp;")"</f>
        <v>[Concentric](#concentric)</v>
      </c>
      <c r="AI2"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Concentric
Fills the area with progressively smaller versions of the outer contour, creating a concentric pattern. Ideal for 100% infill or flexible prints.
- **Horizontal Strength (X-Y):** Low
- **Vertical Strength (Z):** Normal
- **Density Calculation:**  % of  total infill volume
- **Material Usage:** Normal
- **Print Time:** Normal
- **Material/Time (Higher better):** Normal-High
![infill-top-concentric](https://github.com/SoftFever/OrcaSlicer/blob/main/doc/images/fill/infill-top-concentric.png?raw=true)
</v>
      </c>
      <c r="AJ2" t="str">
        <f>IF(OR(Infill[[#This Row],[Is Infill]],Infill[[#This Row],[Is Surface]])," { """&amp;Infill[[#This Row],[infill]]&amp;""", "&amp;Infill[[#This Row],[ip]]&amp;" },","")</f>
        <v xml:space="preserve"> { "concentric", ipConcentric },</v>
      </c>
      <c r="AK2" t="str">
        <f>IF(OR(Infill[[#This Row],[Is Infill]],Infill[[#This Row],[Is Surface]]),"def-&gt;enum_values.push_back("""&amp;Infill[[#This Row],[infill]]&amp;""");","")</f>
        <v>def-&gt;enum_values.push_back("concentric");</v>
      </c>
      <c r="AL2" t="str">
        <f>IF(OR(Infill[[#This Row],[Is Infill]],Infill[[#This Row],[Is Surface]]),"def-&gt;enum_labels.push_back(L("""&amp;Infill[[#This Row],[name]]&amp;"""));","")</f>
        <v>def-&gt;enum_labels.push_back(L("Concentric"));</v>
      </c>
    </row>
    <row r="3" spans="1:38" ht="105" x14ac:dyDescent="0.25">
      <c r="A3" t="s">
        <v>33</v>
      </c>
      <c r="B3" t="s">
        <v>36</v>
      </c>
      <c r="E3">
        <v>2</v>
      </c>
      <c r="F3">
        <v>1</v>
      </c>
      <c r="G3">
        <v>10</v>
      </c>
      <c r="H3" t="b">
        <v>1</v>
      </c>
      <c r="I3" t="b">
        <v>1</v>
      </c>
      <c r="J3" t="s">
        <v>1</v>
      </c>
      <c r="K3" t="s">
        <v>1</v>
      </c>
      <c r="L3" t="s">
        <v>103</v>
      </c>
      <c r="M3" t="s">
        <v>136</v>
      </c>
      <c r="N3" s="6" t="s">
        <v>92</v>
      </c>
      <c r="O3">
        <v>3</v>
      </c>
      <c r="P3" t="str">
        <f>_xlfn.XLOOKUP(Infill[[#This Row],[XY-N]],Rating[N],Rating[Name])</f>
        <v>Normal-Low</v>
      </c>
      <c r="Q3">
        <v>2</v>
      </c>
      <c r="R3" t="str">
        <f>_xlfn.XLOOKUP(Infill[[#This Row],[Z-N]],Rating[N],Rating[Name])</f>
        <v>Low</v>
      </c>
      <c r="S3" s="2" t="s">
        <v>81</v>
      </c>
      <c r="T3">
        <v>8</v>
      </c>
      <c r="U3">
        <v>7</v>
      </c>
      <c r="V3">
        <v>148.6</v>
      </c>
      <c r="W3" s="2">
        <f>Infill[[#This Row],[g]]/(997.25*0.15)</f>
        <v>0.99339851257625134</v>
      </c>
      <c r="X3" s="2" t="str">
        <f>_xlfn.XLOOKUP(Infill[[#This Row],[% Effective]],Rating[Max %],Rating[Name],,1)</f>
        <v>Normal</v>
      </c>
      <c r="Y3">
        <f>Infill[[#This Row],[hs]]*60+Infill[[#This Row],[min]]</f>
        <v>487</v>
      </c>
      <c r="Z3" s="2">
        <f>Infill[[#This Row],[Total Time]]/AVERAGEIFS(Infill[Total Time],Infill[Material Usage],"Normal")</f>
        <v>0.91786529114175186</v>
      </c>
      <c r="AA3" s="2" t="str">
        <f>_xlfn.XLOOKUP(Infill[[#This Row],[t prom]],Rating[Max %],Rating[Name],,1)</f>
        <v>Normal-Low</v>
      </c>
      <c r="AB3" s="3">
        <f>Infill[[#This Row],[g]]/Infill[[#This Row],[Total Time]]</f>
        <v>0.30513347022587267</v>
      </c>
      <c r="AC3" s="2">
        <f>Infill[[#This Row],[g/t]]/AVERAGEIFS(Infill[g/t],Infill[Material Usage],"Normal")</f>
        <v>1.0591933211831519</v>
      </c>
      <c r="AD3" t="str">
        <f>_xlfn.XLOOKUP(Infill[[#This Row],[g/t prom]],Rating[Max %],Rating[Name],,1)</f>
        <v>Normal</v>
      </c>
      <c r="AE3" s="2" t="str">
        <f>SUBSTITUTE(LOWER(Infill[[#This Row],[name]])," ","-")</f>
        <v>rectilinear</v>
      </c>
      <c r="AF3" t="s">
        <v>184</v>
      </c>
      <c r="AG3" t="str">
        <f>"!["&amp;Infill[[#This Row],[SVG]]&amp;"](https://github.com/SoftFever/OrcaSlicer/blob/main/resources/images/"&amp;Infill[[#This Row],[SVG]]&amp;".svg?raw=true)"</f>
        <v>![param_zig-zag](https://github.com/SoftFever/OrcaSlicer/blob/main/resources/images/param_zig-zag.svg?raw=true)</v>
      </c>
      <c r="AH3" s="2" t="str">
        <f>"["&amp;Infill[[#This Row],[name]]&amp;"](#"&amp;Infill[[#This Row],[image]]&amp;")"</f>
        <v>[Rectilinear](#rectilinear)</v>
      </c>
      <c r="AI3"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Rectilinear
Parallel lines spaced according to infill density. Each layer is printed perpendicular to the previous, resulting in low vertical bonding. Consider using new [Zig Zag](#zig-zag) infill instead.
- **Horizontal Strength (X-Y):** Normal-Low
- **Vertical Strength (Z):** Low
- **Density Calculation:**  % of  total infill volume
- **Material Usage:** Normal
- **Print Time:** Normal-Low
- **Material/Time (Higher better):** Normal
![infill-top-rectilinear](https://github.com/SoftFever/OrcaSlicer/blob/main/doc/images/fill/infill-top-rectilinear.png?raw=true)
</v>
      </c>
      <c r="AJ3" t="str">
        <f>IF(OR(Infill[[#This Row],[Is Infill]],Infill[[#This Row],[Is Surface]])," { """&amp;Infill[[#This Row],[infill]]&amp;""", "&amp;Infill[[#This Row],[ip]]&amp;" },","")</f>
        <v xml:space="preserve"> { "zig-zag", ipRectilinear },</v>
      </c>
      <c r="AK3" t="str">
        <f>IF(OR(Infill[[#This Row],[Is Infill]],Infill[[#This Row],[Is Surface]]),"def-&gt;enum_values.push_back("""&amp;Infill[[#This Row],[infill]]&amp;""");","")</f>
        <v>def-&gt;enum_values.push_back("zig-zag");</v>
      </c>
      <c r="AL3" t="str">
        <f>IF(OR(Infill[[#This Row],[Is Infill]],Infill[[#This Row],[Is Surface]]),"def-&gt;enum_labels.push_back(L("""&amp;Infill[[#This Row],[name]]&amp;"""));","")</f>
        <v>def-&gt;enum_labels.push_back(L("Rectilinear"));</v>
      </c>
    </row>
    <row r="4" spans="1:38" ht="60" x14ac:dyDescent="0.25">
      <c r="A4" t="s">
        <v>34</v>
      </c>
      <c r="B4" s="2">
        <v>0.15</v>
      </c>
      <c r="E4">
        <v>3</v>
      </c>
      <c r="F4">
        <v>6</v>
      </c>
      <c r="G4">
        <v>16</v>
      </c>
      <c r="H4" t="b">
        <v>1</v>
      </c>
      <c r="I4" t="b">
        <v>0</v>
      </c>
      <c r="J4" t="s">
        <v>2</v>
      </c>
      <c r="K4" t="s">
        <v>173</v>
      </c>
      <c r="L4" t="s">
        <v>104</v>
      </c>
      <c r="M4" t="s">
        <v>138</v>
      </c>
      <c r="N4" s="6" t="s">
        <v>57</v>
      </c>
      <c r="O4">
        <v>6</v>
      </c>
      <c r="P4" t="str">
        <f>_xlfn.XLOOKUP(Infill[[#This Row],[XY-N]],Rating[N],Rating[Name])</f>
        <v>High</v>
      </c>
      <c r="Q4">
        <v>6</v>
      </c>
      <c r="R4" t="str">
        <f>_xlfn.XLOOKUP(Infill[[#This Row],[Z-N]],Rating[N],Rating[Name])</f>
        <v>High</v>
      </c>
      <c r="S4" s="2" t="s">
        <v>81</v>
      </c>
      <c r="T4">
        <v>8</v>
      </c>
      <c r="U4">
        <v>6</v>
      </c>
      <c r="V4">
        <v>148.87</v>
      </c>
      <c r="W4" s="2">
        <f>Infill[[#This Row],[g]]/(997.25*0.15)</f>
        <v>0.99520347622628891</v>
      </c>
      <c r="X4" s="2" t="str">
        <f>_xlfn.XLOOKUP(Infill[[#This Row],[% Effective]],Rating[Max %],Rating[Name],,1)</f>
        <v>Normal</v>
      </c>
      <c r="Y4">
        <f>Infill[[#This Row],[hs]]*60+Infill[[#This Row],[min]]</f>
        <v>486</v>
      </c>
      <c r="Z4" s="2">
        <f>Infill[[#This Row],[Total Time]]/AVERAGEIFS(Infill[Total Time],Infill[Material Usage],"Normal")</f>
        <v>0.91598055748437657</v>
      </c>
      <c r="AA4" s="2" t="str">
        <f>_xlfn.XLOOKUP(Infill[[#This Row],[t prom]],Rating[Max %],Rating[Name],,1)</f>
        <v>Normal-Low</v>
      </c>
      <c r="AB4" s="3">
        <f>Infill[[#This Row],[g]]/Infill[[#This Row],[Total Time]]</f>
        <v>0.30631687242798356</v>
      </c>
      <c r="AC4" s="2">
        <f>Infill[[#This Row],[g/t]]/AVERAGEIFS(Infill[g/t],Infill[Material Usage],"Normal")</f>
        <v>1.0633012012784473</v>
      </c>
      <c r="AD4" t="str">
        <f>_xlfn.XLOOKUP(Infill[[#This Row],[g/t prom]],Rating[Max %],Rating[Name],,1)</f>
        <v>Normal</v>
      </c>
      <c r="AE4" s="2" t="str">
        <f>SUBSTITUTE(LOWER(Infill[[#This Row],[name]])," ","-")</f>
        <v>grid</v>
      </c>
      <c r="AF4" t="s">
        <v>185</v>
      </c>
      <c r="AG4" t="str">
        <f>"!["&amp;Infill[[#This Row],[SVG]]&amp;"](https://github.com/SoftFever/OrcaSlicer/blob/main/resources/images/"&amp;Infill[[#This Row],[SVG]]&amp;".svg?raw=true)"</f>
        <v>![param_grid](https://github.com/SoftFever/OrcaSlicer/blob/main/resources/images/param_grid.svg?raw=true)</v>
      </c>
      <c r="AH4" s="2" t="str">
        <f>"["&amp;Infill[[#This Row],[name]]&amp;"](#"&amp;Infill[[#This Row],[image]]&amp;")"</f>
        <v>[Grid](#grid)</v>
      </c>
      <c r="AI4"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Grid
Two-layer pattern of perpendicular lines, forming a grid. Overlapping points may cause noise or artifacts.
- **Horizontal Strength (X-Y):** High
- **Vertical Strength (Z):** High
- **Density Calculation:**  % of  total infill volume
- **Material Usage:** Normal
- **Print Time:** Normal-Low
- **Material/Time (Higher better):** Normal
![infill-top-grid](https://github.com/SoftFever/OrcaSlicer/blob/main/doc/images/fill/infill-top-grid.png?raw=true)
</v>
      </c>
      <c r="AJ4" t="str">
        <f>IF(OR(Infill[[#This Row],[Is Infill]],Infill[[#This Row],[Is Surface]])," { """&amp;Infill[[#This Row],[infill]]&amp;""", "&amp;Infill[[#This Row],[ip]]&amp;" },","")</f>
        <v xml:space="preserve"> { "grid", ipGrid },</v>
      </c>
      <c r="AK4" t="str">
        <f>IF(OR(Infill[[#This Row],[Is Infill]],Infill[[#This Row],[Is Surface]]),"def-&gt;enum_values.push_back("""&amp;Infill[[#This Row],[infill]]&amp;""");","")</f>
        <v>def-&gt;enum_values.push_back("grid");</v>
      </c>
      <c r="AL4" t="str">
        <f>IF(OR(Infill[[#This Row],[Is Infill]],Infill[[#This Row],[Is Surface]]),"def-&gt;enum_labels.push_back(L("""&amp;Infill[[#This Row],[name]]&amp;"""));","")</f>
        <v>def-&gt;enum_labels.push_back(L("Grid"));</v>
      </c>
    </row>
    <row r="5" spans="1:38" ht="120" x14ac:dyDescent="0.25">
      <c r="A5" t="s">
        <v>52</v>
      </c>
      <c r="B5" t="s">
        <v>53</v>
      </c>
      <c r="E5">
        <v>4</v>
      </c>
      <c r="F5">
        <v>9.3000000000000007</v>
      </c>
      <c r="G5">
        <v>22</v>
      </c>
      <c r="H5" t="b">
        <v>1</v>
      </c>
      <c r="I5" t="b">
        <v>0</v>
      </c>
      <c r="J5" t="s">
        <v>3</v>
      </c>
      <c r="K5" t="s">
        <v>174</v>
      </c>
      <c r="L5" t="s">
        <v>105</v>
      </c>
      <c r="M5" t="s">
        <v>139</v>
      </c>
      <c r="N5" s="6" t="s">
        <v>93</v>
      </c>
      <c r="O5">
        <v>3</v>
      </c>
      <c r="P5" t="str">
        <f>_xlfn.XLOOKUP(Infill[[#This Row],[XY-N]],Rating[N],Rating[Name])</f>
        <v>Normal-Low</v>
      </c>
      <c r="Q5">
        <v>2</v>
      </c>
      <c r="R5" t="str">
        <f>_xlfn.XLOOKUP(Infill[[#This Row],[Z-N]],Rating[N],Rating[Name])</f>
        <v>Low</v>
      </c>
      <c r="S5" s="2" t="s">
        <v>81</v>
      </c>
      <c r="T5">
        <v>8</v>
      </c>
      <c r="U5">
        <v>4</v>
      </c>
      <c r="V5">
        <v>148.54</v>
      </c>
      <c r="W5" s="2">
        <f>Infill[[#This Row],[g]]/(997.25*0.15)</f>
        <v>0.9929974095429096</v>
      </c>
      <c r="X5" s="2" t="str">
        <f>_xlfn.XLOOKUP(Infill[[#This Row],[% Effective]],Rating[Max %],Rating[Name],,1)</f>
        <v>Normal</v>
      </c>
      <c r="Y5">
        <f>Infill[[#This Row],[hs]]*60+Infill[[#This Row],[min]]</f>
        <v>484</v>
      </c>
      <c r="Z5" s="2">
        <f>Infill[[#This Row],[Total Time]]/AVERAGEIFS(Infill[Total Time],Infill[Material Usage],"Normal")</f>
        <v>0.91221109016962609</v>
      </c>
      <c r="AA5" s="2" t="str">
        <f>_xlfn.XLOOKUP(Infill[[#This Row],[t prom]],Rating[Max %],Rating[Name],,1)</f>
        <v>Normal-Low</v>
      </c>
      <c r="AB5" s="3">
        <f>Infill[[#This Row],[g]]/Infill[[#This Row],[Total Time]]</f>
        <v>0.30690082644628097</v>
      </c>
      <c r="AC5" s="2">
        <f>Infill[[#This Row],[g/t]]/AVERAGEIFS(Infill[g/t],Infill[Material Usage],"Normal")</f>
        <v>1.0653282492964862</v>
      </c>
      <c r="AD5" t="str">
        <f>_xlfn.XLOOKUP(Infill[[#This Row],[g/t prom]],Rating[Max %],Rating[Name],,1)</f>
        <v>Normal</v>
      </c>
      <c r="AE5" s="2" t="str">
        <f>SUBSTITUTE(LOWER(Infill[[#This Row],[name]])," ","-")</f>
        <v>2d-lattice</v>
      </c>
      <c r="AF5" t="s">
        <v>186</v>
      </c>
      <c r="AG5" t="str">
        <f>"!["&amp;Infill[[#This Row],[SVG]]&amp;"](https://github.com/SoftFever/OrcaSlicer/blob/main/resources/images/"&amp;Infill[[#This Row],[SVG]]&amp;".svg?raw=true)"</f>
        <v>![param_2dlattice](https://github.com/SoftFever/OrcaSlicer/blob/main/resources/images/param_2dlattice.svg?raw=true)</v>
      </c>
      <c r="AH5" s="2" t="str">
        <f>"["&amp;Infill[[#This Row],[name]]&amp;"](#"&amp;Infill[[#This Row],[image]]&amp;")"</f>
        <v>[2D Lattice](#2d-lattice)</v>
      </c>
      <c r="AI5"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2D Lattice
Low-strength pattern with good flexibility. You can adjust **Angle 1** and **Angle 2** to optimize the infill for your specific model. Each angle adjusts the plane of each layer generated by the pattern. 0° is vertical.
- **Horizontal Strength (X-Y):** Normal-Low
- **Vertical Strength (Z):** Low
- **Density Calculation:**  % of  total infill volume
- **Material Usage:** Normal
- **Print Time:** Normal-Low
- **Material/Time (Higher better):** Normal
![infill-top-2d-lattice](https://github.com/SoftFever/OrcaSlicer/blob/main/doc/images/fill/infill-top-2d-lattice.png?raw=true)
</v>
      </c>
      <c r="AJ5" t="str">
        <f>IF(OR(Infill[[#This Row],[Is Infill]],Infill[[#This Row],[Is Surface]])," { """&amp;Infill[[#This Row],[infill]]&amp;""", "&amp;Infill[[#This Row],[ip]]&amp;" },","")</f>
        <v xml:space="preserve"> { "2dlattice", ip2DLattice },</v>
      </c>
      <c r="AK5" t="str">
        <f>IF(OR(Infill[[#This Row],[Is Infill]],Infill[[#This Row],[Is Surface]]),"def-&gt;enum_values.push_back("""&amp;Infill[[#This Row],[infill]]&amp;""");","")</f>
        <v>def-&gt;enum_values.push_back("2dlattice");</v>
      </c>
      <c r="AL5" t="str">
        <f>IF(OR(Infill[[#This Row],[Is Infill]],Infill[[#This Row],[Is Surface]]),"def-&gt;enum_labels.push_back(L("""&amp;Infill[[#This Row],[name]]&amp;"""));","")</f>
        <v>def-&gt;enum_labels.push_back(L("2D Lattice"));</v>
      </c>
    </row>
    <row r="6" spans="1:38" ht="60" x14ac:dyDescent="0.25">
      <c r="A6" t="s">
        <v>35</v>
      </c>
      <c r="B6" t="s">
        <v>37</v>
      </c>
      <c r="E6">
        <v>5</v>
      </c>
      <c r="F6">
        <v>5</v>
      </c>
      <c r="G6">
        <v>15</v>
      </c>
      <c r="H6" t="b">
        <v>1</v>
      </c>
      <c r="I6" t="b">
        <v>0</v>
      </c>
      <c r="J6" t="s">
        <v>4</v>
      </c>
      <c r="K6" t="s">
        <v>1</v>
      </c>
      <c r="L6" t="s">
        <v>106</v>
      </c>
      <c r="M6" t="s">
        <v>140</v>
      </c>
      <c r="N6" s="6" t="s">
        <v>58</v>
      </c>
      <c r="O6">
        <v>2</v>
      </c>
      <c r="P6" t="str">
        <f>_xlfn.XLOOKUP(Infill[[#This Row],[XY-N]],Rating[N],Rating[Name])</f>
        <v>Low</v>
      </c>
      <c r="Q6">
        <v>2</v>
      </c>
      <c r="R6" t="str">
        <f>_xlfn.XLOOKUP(Infill[[#This Row],[Z-N]],Rating[N],Rating[Name])</f>
        <v>Low</v>
      </c>
      <c r="S6" s="2" t="s">
        <v>81</v>
      </c>
      <c r="T6">
        <v>7</v>
      </c>
      <c r="U6">
        <v>49</v>
      </c>
      <c r="V6">
        <v>154.68</v>
      </c>
      <c r="W6" s="2">
        <f>Infill[[#This Row],[g]]/(997.25*0.15)</f>
        <v>1.0340436199548759</v>
      </c>
      <c r="X6" s="2" t="str">
        <f>_xlfn.XLOOKUP(Infill[[#This Row],[% Effective]],Rating[Max %],Rating[Name],,1)</f>
        <v>Normal</v>
      </c>
      <c r="Y6">
        <f>Infill[[#This Row],[hs]]*60+Infill[[#This Row],[min]]</f>
        <v>469</v>
      </c>
      <c r="Z6" s="2">
        <f>Infill[[#This Row],[Total Time]]/AVERAGEIFS(Infill[Total Time],Infill[Material Usage],"Normal")</f>
        <v>0.88394008530899715</v>
      </c>
      <c r="AA6" s="2" t="str">
        <f>_xlfn.XLOOKUP(Infill[[#This Row],[t prom]],Rating[Max %],Rating[Name],,1)</f>
        <v>Normal-Low</v>
      </c>
      <c r="AB6" s="3">
        <f>Infill[[#This Row],[g]]/Infill[[#This Row],[Total Time]]</f>
        <v>0.3298081023454158</v>
      </c>
      <c r="AC6" s="2">
        <f>Infill[[#This Row],[g/t]]/AVERAGEIFS(Infill[g/t],Infill[Material Usage],"Normal")</f>
        <v>1.1448450378706885</v>
      </c>
      <c r="AD6" t="str">
        <f>_xlfn.XLOOKUP(Infill[[#This Row],[g/t prom]],Rating[Max %],Rating[Name],,1)</f>
        <v>Normal-High</v>
      </c>
      <c r="AE6" s="2" t="str">
        <f>SUBSTITUTE(LOWER(Infill[[#This Row],[name]])," ","-")</f>
        <v>line</v>
      </c>
      <c r="AF6" t="s">
        <v>187</v>
      </c>
      <c r="AG6" t="str">
        <f>"!["&amp;Infill[[#This Row],[SVG]]&amp;"](https://github.com/SoftFever/OrcaSlicer/blob/main/resources/images/"&amp;Infill[[#This Row],[SVG]]&amp;".svg?raw=true)"</f>
        <v>![param_line](https://github.com/SoftFever/OrcaSlicer/blob/main/resources/images/param_line.svg?raw=true)</v>
      </c>
      <c r="AH6" s="2" t="str">
        <f>"["&amp;Infill[[#This Row],[name]]&amp;"](#"&amp;Infill[[#This Row],[image]]&amp;")"</f>
        <v>[Line](#line)</v>
      </c>
      <c r="AI6"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Line
Similar to [rectilinear](#rectilinear), but each line is slightly rotated to improve print speed.
- **Horizontal Strength (X-Y):** Low
- **Vertical Strength (Z):** Low
- **Density Calculation:**  % of  total infill volume
- **Material Usage:** Normal
- **Print Time:** Normal-Low
- **Material/Time (Higher better):** Normal-High
![infill-top-line](https://github.com/SoftFever/OrcaSlicer/blob/main/doc/images/fill/infill-top-line.png?raw=true)
</v>
      </c>
      <c r="AJ6" t="str">
        <f>IF(OR(Infill[[#This Row],[Is Infill]],Infill[[#This Row],[Is Surface]])," { """&amp;Infill[[#This Row],[infill]]&amp;""", "&amp;Infill[[#This Row],[ip]]&amp;" },","")</f>
        <v xml:space="preserve"> { "line", ipLine },</v>
      </c>
      <c r="AK6" t="str">
        <f>IF(OR(Infill[[#This Row],[Is Infill]],Infill[[#This Row],[Is Surface]]),"def-&gt;enum_values.push_back("""&amp;Infill[[#This Row],[infill]]&amp;""");","")</f>
        <v>def-&gt;enum_values.push_back("line");</v>
      </c>
      <c r="AL6" t="str">
        <f>IF(OR(Infill[[#This Row],[Is Infill]],Infill[[#This Row],[Is Surface]]),"def-&gt;enum_labels.push_back(L("""&amp;Infill[[#This Row],[name]]&amp;"""));","")</f>
        <v>def-&gt;enum_labels.push_back(L("Line"));</v>
      </c>
    </row>
    <row r="7" spans="1:38" ht="75" x14ac:dyDescent="0.25">
      <c r="A7" t="s">
        <v>54</v>
      </c>
      <c r="B7" t="s">
        <v>37</v>
      </c>
      <c r="E7">
        <v>6</v>
      </c>
      <c r="F7">
        <v>8</v>
      </c>
      <c r="G7">
        <v>4</v>
      </c>
      <c r="H7" t="b">
        <v>1</v>
      </c>
      <c r="I7" t="b">
        <v>0</v>
      </c>
      <c r="J7" t="s">
        <v>5</v>
      </c>
      <c r="K7" t="s">
        <v>5</v>
      </c>
      <c r="L7" t="s">
        <v>107</v>
      </c>
      <c r="M7" t="s">
        <v>141</v>
      </c>
      <c r="N7" s="6" t="s">
        <v>59</v>
      </c>
      <c r="O7">
        <v>6</v>
      </c>
      <c r="P7" t="str">
        <f>_xlfn.XLOOKUP(Infill[[#This Row],[XY-N]],Rating[N],Rating[Name])</f>
        <v>High</v>
      </c>
      <c r="Q7">
        <v>6</v>
      </c>
      <c r="R7" t="str">
        <f>_xlfn.XLOOKUP(Infill[[#This Row],[Z-N]],Rating[N],Rating[Name])</f>
        <v>High</v>
      </c>
      <c r="S7" s="2" t="s">
        <v>81</v>
      </c>
      <c r="T7">
        <v>7</v>
      </c>
      <c r="U7">
        <v>50</v>
      </c>
      <c r="V7">
        <v>148.54</v>
      </c>
      <c r="W7" s="2">
        <f>Infill[[#This Row],[g]]/(997.25*0.15)</f>
        <v>0.9929974095429096</v>
      </c>
      <c r="X7" s="2" t="str">
        <f>_xlfn.XLOOKUP(Infill[[#This Row],[% Effective]],Rating[Max %],Rating[Name],,1)</f>
        <v>Normal</v>
      </c>
      <c r="Y7">
        <f>Infill[[#This Row],[hs]]*60+Infill[[#This Row],[min]]</f>
        <v>470</v>
      </c>
      <c r="Z7" s="2">
        <f>Infill[[#This Row],[Total Time]]/AVERAGEIFS(Infill[Total Time],Infill[Material Usage],"Normal")</f>
        <v>0.88582481896637244</v>
      </c>
      <c r="AA7" s="2" t="str">
        <f>_xlfn.XLOOKUP(Infill[[#This Row],[t prom]],Rating[Max %],Rating[Name],,1)</f>
        <v>Normal-Low</v>
      </c>
      <c r="AB7" s="3">
        <f>Infill[[#This Row],[g]]/Infill[[#This Row],[Total Time]]</f>
        <v>0.31604255319148933</v>
      </c>
      <c r="AC7" s="2">
        <f>Infill[[#This Row],[g/t]]/AVERAGEIFS(Infill[g/t],Infill[Material Usage],"Normal")</f>
        <v>1.0970614311904239</v>
      </c>
      <c r="AD7" t="str">
        <f>_xlfn.XLOOKUP(Infill[[#This Row],[g/t prom]],Rating[Max %],Rating[Name],,1)</f>
        <v>Normal-High</v>
      </c>
      <c r="AE7" s="2" t="str">
        <f>SUBSTITUTE(LOWER(Infill[[#This Row],[name]])," ","-")</f>
        <v>cubic</v>
      </c>
      <c r="AF7" t="s">
        <v>188</v>
      </c>
      <c r="AG7" t="str">
        <f>"!["&amp;Infill[[#This Row],[SVG]]&amp;"](https://github.com/SoftFever/OrcaSlicer/blob/main/resources/images/"&amp;Infill[[#This Row],[SVG]]&amp;".svg?raw=true)"</f>
        <v>![param_cubic](https://github.com/SoftFever/OrcaSlicer/blob/main/resources/images/param_cubic.svg?raw=true)</v>
      </c>
      <c r="AH7" s="2" t="str">
        <f>"["&amp;Infill[[#This Row],[name]]&amp;"](#"&amp;Infill[[#This Row],[image]]&amp;")"</f>
        <v>[Cubic](#cubic)</v>
      </c>
      <c r="AI7"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Cubic
3D cube pattern with corners facing down, distributing force in all directions. Triangles in the horizontal plane provide good X-Y strength.
- **Horizontal Strength (X-Y):** High
- **Vertical Strength (Z):** High
- **Density Calculation:**  % of  total infill volume
- **Material Usage:** Normal
- **Print Time:** Normal-Low
- **Material/Time (Higher better):** Normal-High
![infill-top-cubic](https://github.com/SoftFever/OrcaSlicer/blob/main/doc/images/fill/infill-top-cubic.png?raw=true)
</v>
      </c>
      <c r="AJ7" t="str">
        <f>IF(OR(Infill[[#This Row],[Is Infill]],Infill[[#This Row],[Is Surface]])," { """&amp;Infill[[#This Row],[infill]]&amp;""", "&amp;Infill[[#This Row],[ip]]&amp;" },","")</f>
        <v xml:space="preserve"> { "cubic", ipCubic },</v>
      </c>
      <c r="AK7" t="str">
        <f>IF(OR(Infill[[#This Row],[Is Infill]],Infill[[#This Row],[Is Surface]]),"def-&gt;enum_values.push_back("""&amp;Infill[[#This Row],[infill]]&amp;""");","")</f>
        <v>def-&gt;enum_values.push_back("cubic");</v>
      </c>
      <c r="AL7" t="str">
        <f>IF(OR(Infill[[#This Row],[Is Infill]],Infill[[#This Row],[Is Surface]]),"def-&gt;enum_labels.push_back(L("""&amp;Infill[[#This Row],[name]]&amp;"""));","")</f>
        <v>def-&gt;enum_labels.push_back(L("Cubic"));</v>
      </c>
    </row>
    <row r="8" spans="1:38" ht="45" x14ac:dyDescent="0.25">
      <c r="A8" t="s">
        <v>38</v>
      </c>
      <c r="B8" s="4">
        <v>1</v>
      </c>
      <c r="E8">
        <v>7</v>
      </c>
      <c r="F8">
        <v>7</v>
      </c>
      <c r="G8">
        <v>17</v>
      </c>
      <c r="H8" t="b">
        <v>1</v>
      </c>
      <c r="I8" t="b">
        <v>0</v>
      </c>
      <c r="J8" t="s">
        <v>6</v>
      </c>
      <c r="K8" t="s">
        <v>173</v>
      </c>
      <c r="L8" t="s">
        <v>108</v>
      </c>
      <c r="M8" t="s">
        <v>142</v>
      </c>
      <c r="N8" s="6" t="s">
        <v>60</v>
      </c>
      <c r="O8">
        <v>6</v>
      </c>
      <c r="P8" t="str">
        <f>_xlfn.XLOOKUP(Infill[[#This Row],[XY-N]],Rating[N],Rating[Name])</f>
        <v>High</v>
      </c>
      <c r="Q8">
        <v>4</v>
      </c>
      <c r="R8" t="str">
        <f>_xlfn.XLOOKUP(Infill[[#This Row],[Z-N]],Rating[N],Rating[Name])</f>
        <v>Normal</v>
      </c>
      <c r="S8" s="2" t="s">
        <v>81</v>
      </c>
      <c r="T8">
        <v>7</v>
      </c>
      <c r="U8">
        <v>50</v>
      </c>
      <c r="V8">
        <v>147.55000000000001</v>
      </c>
      <c r="W8" s="2">
        <f>Infill[[#This Row],[g]]/(997.25*0.15)</f>
        <v>0.9863792094927718</v>
      </c>
      <c r="X8" s="2" t="str">
        <f>_xlfn.XLOOKUP(Infill[[#This Row],[% Effective]],Rating[Max %],Rating[Name],,1)</f>
        <v>Normal</v>
      </c>
      <c r="Y8">
        <f>Infill[[#This Row],[hs]]*60+Infill[[#This Row],[min]]</f>
        <v>470</v>
      </c>
      <c r="Z8" s="2">
        <f>Infill[[#This Row],[Total Time]]/AVERAGEIFS(Infill[Total Time],Infill[Material Usage],"Normal")</f>
        <v>0.88582481896637244</v>
      </c>
      <c r="AA8" s="2" t="str">
        <f>_xlfn.XLOOKUP(Infill[[#This Row],[t prom]],Rating[Max %],Rating[Name],,1)</f>
        <v>Normal-Low</v>
      </c>
      <c r="AB8" s="3">
        <f>Infill[[#This Row],[g]]/Infill[[#This Row],[Total Time]]</f>
        <v>0.31393617021276599</v>
      </c>
      <c r="AC8" s="2">
        <f>Infill[[#This Row],[g/t]]/AVERAGEIFS(Infill[g/t],Infill[Material Usage],"Normal")</f>
        <v>1.0897496578170667</v>
      </c>
      <c r="AD8" t="str">
        <f>_xlfn.XLOOKUP(Infill[[#This Row],[g/t prom]],Rating[Max %],Rating[Name],,1)</f>
        <v>Normal-High</v>
      </c>
      <c r="AE8" s="2" t="str">
        <f>SUBSTITUTE(LOWER(Infill[[#This Row],[name]])," ","-")</f>
        <v>triangles</v>
      </c>
      <c r="AF8" t="s">
        <v>189</v>
      </c>
      <c r="AG8" t="str">
        <f>"!["&amp;Infill[[#This Row],[SVG]]&amp;"](https://github.com/SoftFever/OrcaSlicer/blob/main/resources/images/"&amp;Infill[[#This Row],[SVG]]&amp;".svg?raw=true)"</f>
        <v>![param_triangles](https://github.com/SoftFever/OrcaSlicer/blob/main/resources/images/param_triangles.svg?raw=true)</v>
      </c>
      <c r="AH8" s="2" t="str">
        <f>"["&amp;Infill[[#This Row],[name]]&amp;"](#"&amp;Infill[[#This Row],[image]]&amp;")"</f>
        <v>[Triangles](#triangles)</v>
      </c>
      <c r="AI8"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Triangles
Triangle-based grid, offering strong X-Y strength but with triple overlaps at intersections.
- **Horizontal Strength (X-Y):** High
- **Vertical Strength (Z):** Normal
- **Density Calculation:**  % of  total infill volume
- **Material Usage:** Normal
- **Print Time:** Normal-Low
- **Material/Time (Higher better):** Normal-High
![infill-top-triangles](https://github.com/SoftFever/OrcaSlicer/blob/main/doc/images/fill/infill-top-triangles.png?raw=true)
</v>
      </c>
      <c r="AJ8" t="str">
        <f>IF(OR(Infill[[#This Row],[Is Infill]],Infill[[#This Row],[Is Surface]])," { """&amp;Infill[[#This Row],[infill]]&amp;""", "&amp;Infill[[#This Row],[ip]]&amp;" },","")</f>
        <v xml:space="preserve"> { "triangles", ipTriangles },</v>
      </c>
      <c r="AK8" t="str">
        <f>IF(OR(Infill[[#This Row],[Is Infill]],Infill[[#This Row],[Is Surface]]),"def-&gt;enum_values.push_back("""&amp;Infill[[#This Row],[infill]]&amp;""");","")</f>
        <v>def-&gt;enum_values.push_back("triangles");</v>
      </c>
      <c r="AL8" t="str">
        <f>IF(OR(Infill[[#This Row],[Is Infill]],Infill[[#This Row],[Is Surface]]),"def-&gt;enum_labels.push_back(L("""&amp;Infill[[#This Row],[name]]&amp;"""));","")</f>
        <v>def-&gt;enum_labels.push_back(L("Triangles"));</v>
      </c>
    </row>
    <row r="9" spans="1:38" ht="105" x14ac:dyDescent="0.25">
      <c r="A9" t="s">
        <v>51</v>
      </c>
      <c r="B9">
        <v>1</v>
      </c>
      <c r="E9">
        <v>8</v>
      </c>
      <c r="F9">
        <v>7.1</v>
      </c>
      <c r="G9">
        <v>18</v>
      </c>
      <c r="H9" t="b">
        <v>1</v>
      </c>
      <c r="I9" t="b">
        <v>0</v>
      </c>
      <c r="J9" t="s">
        <v>7</v>
      </c>
      <c r="K9" t="s">
        <v>173</v>
      </c>
      <c r="L9" t="s">
        <v>109</v>
      </c>
      <c r="M9" t="s">
        <v>143</v>
      </c>
      <c r="N9" s="6" t="s">
        <v>61</v>
      </c>
      <c r="O9">
        <v>6</v>
      </c>
      <c r="P9" t="str">
        <f>_xlfn.XLOOKUP(Infill[[#This Row],[XY-N]],Rating[N],Rating[Name])</f>
        <v>High</v>
      </c>
      <c r="Q9">
        <v>5</v>
      </c>
      <c r="R9" t="str">
        <f>_xlfn.XLOOKUP(Infill[[#This Row],[Z-N]],Rating[N],Rating[Name])</f>
        <v>Normal-High</v>
      </c>
      <c r="S9" s="2" t="s">
        <v>81</v>
      </c>
      <c r="T9">
        <v>7</v>
      </c>
      <c r="U9">
        <v>43</v>
      </c>
      <c r="V9">
        <v>148.53</v>
      </c>
      <c r="W9" s="2">
        <f>Infill[[#This Row],[g]]/(997.25*0.15)</f>
        <v>0.99293055903735272</v>
      </c>
      <c r="X9" s="2" t="str">
        <f>_xlfn.XLOOKUP(Infill[[#This Row],[% Effective]],Rating[Max %],Rating[Name],,1)</f>
        <v>Normal</v>
      </c>
      <c r="Y9">
        <f>Infill[[#This Row],[hs]]*60+Infill[[#This Row],[min]]</f>
        <v>463</v>
      </c>
      <c r="Z9" s="2">
        <f>Infill[[#This Row],[Total Time]]/AVERAGEIFS(Infill[Total Time],Infill[Material Usage],"Normal")</f>
        <v>0.87263168336474561</v>
      </c>
      <c r="AA9" s="2" t="str">
        <f>_xlfn.XLOOKUP(Infill[[#This Row],[t prom]],Rating[Max %],Rating[Name],,1)</f>
        <v>Normal-Low</v>
      </c>
      <c r="AB9" s="3">
        <f>Infill[[#This Row],[g]]/Infill[[#This Row],[Total Time]]</f>
        <v>0.32079913606911448</v>
      </c>
      <c r="AC9" s="2">
        <f>Infill[[#This Row],[g/t]]/AVERAGEIFS(Infill[g/t],Infill[Material Usage],"Normal")</f>
        <v>1.1135727002160909</v>
      </c>
      <c r="AD9" t="str">
        <f>_xlfn.XLOOKUP(Infill[[#This Row],[g/t prom]],Rating[Max %],Rating[Name],,1)</f>
        <v>Normal-High</v>
      </c>
      <c r="AE9" s="2" t="str">
        <f>SUBSTITUTE(LOWER(Infill[[#This Row],[name]])," ","-")</f>
        <v>tri-hexagon</v>
      </c>
      <c r="AF9" t="s">
        <v>190</v>
      </c>
      <c r="AG9" t="str">
        <f>"!["&amp;Infill[[#This Row],[SVG]]&amp;"](https://github.com/SoftFever/OrcaSlicer/blob/main/resources/images/"&amp;Infill[[#This Row],[SVG]]&amp;".svg?raw=true)"</f>
        <v>![param_tri-hexagon](https://github.com/SoftFever/OrcaSlicer/blob/main/resources/images/param_tri-hexagon.svg?raw=true)</v>
      </c>
      <c r="AH9" s="2" t="str">
        <f>"["&amp;Infill[[#This Row],[name]]&amp;"](#"&amp;Infill[[#This Row],[image]]&amp;")"</f>
        <v>[Tri-hexagon](#tri-hexagon)</v>
      </c>
      <c r="AI9"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Tri-hexagon
Similar to the [triangles](#triangles) pattern but offset to prevent triple overlaps at intersections. This design combines triangles and hexagons, providing excellent X-Y strength.
- **Horizontal Strength (X-Y):** High
- **Vertical Strength (Z):** Normal-High
- **Density Calculation:**  % of  total infill volume
- **Material Usage:** Normal
- **Print Time:** Normal-Low
- **Material/Time (Higher better):** Normal-High
![infill-top-tri-hexagon](https://github.com/SoftFever/OrcaSlicer/blob/main/doc/images/fill/infill-top-tri-hexagon.png?raw=true)
</v>
      </c>
      <c r="AJ9" t="str">
        <f>IF(OR(Infill[[#This Row],[Is Infill]],Infill[[#This Row],[Is Surface]])," { """&amp;Infill[[#This Row],[infill]]&amp;""", "&amp;Infill[[#This Row],[ip]]&amp;" },","")</f>
        <v xml:space="preserve"> { "tri-hexagon", ipStars },</v>
      </c>
      <c r="AK9" t="str">
        <f>IF(OR(Infill[[#This Row],[Is Infill]],Infill[[#This Row],[Is Surface]]),"def-&gt;enum_values.push_back("""&amp;Infill[[#This Row],[infill]]&amp;""");","")</f>
        <v>def-&gt;enum_values.push_back("tri-hexagon");</v>
      </c>
      <c r="AL9" t="str">
        <f>IF(OR(Infill[[#This Row],[Is Infill]],Infill[[#This Row],[Is Surface]]),"def-&gt;enum_labels.push_back(L("""&amp;Infill[[#This Row],[name]]&amp;"""));","")</f>
        <v>def-&gt;enum_labels.push_back(L("Tri-hexagon"));</v>
      </c>
    </row>
    <row r="10" spans="1:38" ht="210" x14ac:dyDescent="0.25">
      <c r="E10">
        <v>9</v>
      </c>
      <c r="F10">
        <v>10.3</v>
      </c>
      <c r="G10">
        <v>1</v>
      </c>
      <c r="H10" t="b">
        <v>1</v>
      </c>
      <c r="I10" t="b">
        <v>0</v>
      </c>
      <c r="J10" t="s">
        <v>8</v>
      </c>
      <c r="K10" t="s">
        <v>175</v>
      </c>
      <c r="L10" t="s">
        <v>110</v>
      </c>
      <c r="M10" t="s">
        <v>144</v>
      </c>
      <c r="N10" s="6" t="s">
        <v>94</v>
      </c>
      <c r="O10">
        <v>6</v>
      </c>
      <c r="P10" t="str">
        <f>_xlfn.XLOOKUP(Infill[[#This Row],[XY-N]],Rating[N],Rating[Name])</f>
        <v>High</v>
      </c>
      <c r="Q10">
        <v>6</v>
      </c>
      <c r="R10" t="str">
        <f>_xlfn.XLOOKUP(Infill[[#This Row],[Z-N]],Rating[N],Rating[Name])</f>
        <v>High</v>
      </c>
      <c r="S10" s="2" t="s">
        <v>81</v>
      </c>
      <c r="T10">
        <v>10</v>
      </c>
      <c r="U10">
        <v>49</v>
      </c>
      <c r="V10">
        <v>141.77000000000001</v>
      </c>
      <c r="W10" s="2">
        <f>Infill[[#This Row],[g]]/(997.25*0.15)</f>
        <v>0.94773961728085576</v>
      </c>
      <c r="X10" s="2" t="str">
        <f>_xlfn.XLOOKUP(Infill[[#This Row],[% Effective]],Rating[Max %],Rating[Name],,1)</f>
        <v>Normal</v>
      </c>
      <c r="Y10">
        <f>Infill[[#This Row],[hs]]*60+Infill[[#This Row],[min]]</f>
        <v>649</v>
      </c>
      <c r="Z10" s="2">
        <f>Infill[[#This Row],[Total Time]]/AVERAGEIFS(Infill[Total Time],Infill[Material Usage],"Normal")</f>
        <v>1.223192143636544</v>
      </c>
      <c r="AA10" s="2" t="str">
        <f>_xlfn.XLOOKUP(Infill[[#This Row],[t prom]],Rating[Max %],Rating[Name],,1)</f>
        <v>Normal-High</v>
      </c>
      <c r="AB10" s="3">
        <f>Infill[[#This Row],[g]]/Infill[[#This Row],[Total Time]]</f>
        <v>0.21844375963020032</v>
      </c>
      <c r="AC10" s="2">
        <f>Infill[[#This Row],[g/t]]/AVERAGEIFS(Infill[g/t],Infill[Material Usage],"Normal")</f>
        <v>0.75827201481100404</v>
      </c>
      <c r="AD10" t="str">
        <f>_xlfn.XLOOKUP(Infill[[#This Row],[g/t prom]],Rating[Max %],Rating[Name],,1)</f>
        <v>Normal-Low</v>
      </c>
      <c r="AE10" s="2" t="str">
        <f>SUBSTITUTE(LOWER(Infill[[#This Row],[name]])," ","-")</f>
        <v>gyroid</v>
      </c>
      <c r="AF10" t="s">
        <v>191</v>
      </c>
      <c r="AG10" t="str">
        <f>"!["&amp;Infill[[#This Row],[SVG]]&amp;"](https://github.com/SoftFever/OrcaSlicer/blob/main/resources/images/"&amp;Infill[[#This Row],[SVG]]&amp;".svg?raw=true)"</f>
        <v>![param_gyroid](https://github.com/SoftFever/OrcaSlicer/blob/main/resources/images/param_gyroid.svg?raw=true)</v>
      </c>
      <c r="AH10" s="2" t="str">
        <f>"["&amp;Infill[[#This Row],[name]]&amp;"](#"&amp;Infill[[#This Row],[image]]&amp;")"</f>
        <v>[Gyroid](#gyroid)</v>
      </c>
      <c r="AI10"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**Horizontal Strength (X-Y):** High
- **Vertical Strength (Z):** High
- **Density Calculation:**  % of  total infill volume
- **Material Usage:** Normal
- **Print Time:** Normal-High
- **Material/Time (Higher better):** Normal-Low
![infill-top-gyroid](https://github.com/SoftFever/OrcaSlicer/blob/main/doc/images/fill/infill-top-gyroid.png?raw=true)
</v>
      </c>
      <c r="AJ10" t="str">
        <f>IF(OR(Infill[[#This Row],[Is Infill]],Infill[[#This Row],[Is Surface]])," { """&amp;Infill[[#This Row],[infill]]&amp;""", "&amp;Infill[[#This Row],[ip]]&amp;" },","")</f>
        <v xml:space="preserve"> { "gyroid", ipGyroid },</v>
      </c>
      <c r="AK10" t="str">
        <f>IF(OR(Infill[[#This Row],[Is Infill]],Infill[[#This Row],[Is Surface]]),"def-&gt;enum_values.push_back("""&amp;Infill[[#This Row],[infill]]&amp;""");","")</f>
        <v>def-&gt;enum_values.push_back("gyroid");</v>
      </c>
      <c r="AL10" t="str">
        <f>IF(OR(Infill[[#This Row],[Is Infill]],Infill[[#This Row],[Is Surface]]),"def-&gt;enum_labels.push_back(L("""&amp;Infill[[#This Row],[name]]&amp;"""));","")</f>
        <v>def-&gt;enum_labels.push_back(L("Gyroid"));</v>
      </c>
    </row>
    <row r="11" spans="1:38" ht="150" x14ac:dyDescent="0.25">
      <c r="A11" t="s">
        <v>45</v>
      </c>
      <c r="B11" t="s">
        <v>77</v>
      </c>
      <c r="C11" t="s">
        <v>44</v>
      </c>
      <c r="E11">
        <v>10</v>
      </c>
      <c r="F11">
        <v>10.199999999999999</v>
      </c>
      <c r="G11">
        <v>2</v>
      </c>
      <c r="H11" t="b">
        <v>1</v>
      </c>
      <c r="I11" t="b">
        <v>0</v>
      </c>
      <c r="J11" t="s">
        <v>9</v>
      </c>
      <c r="K11" t="s">
        <v>175</v>
      </c>
      <c r="L11" t="s">
        <v>111</v>
      </c>
      <c r="M11" t="s">
        <v>145</v>
      </c>
      <c r="N11" s="6" t="s">
        <v>101</v>
      </c>
      <c r="O11">
        <v>6</v>
      </c>
      <c r="P11" t="str">
        <f>_xlfn.XLOOKUP(Infill[[#This Row],[XY-N]],Rating[N],Rating[Name])</f>
        <v>High</v>
      </c>
      <c r="Q11">
        <v>6</v>
      </c>
      <c r="R11" t="str">
        <f>_xlfn.XLOOKUP(Infill[[#This Row],[Z-N]],Rating[N],Rating[Name])</f>
        <v>High</v>
      </c>
      <c r="S11" s="2" t="s">
        <v>81</v>
      </c>
      <c r="T11">
        <v>11</v>
      </c>
      <c r="U11">
        <v>29</v>
      </c>
      <c r="V11">
        <v>151.01</v>
      </c>
      <c r="W11" s="2">
        <f>Infill[[#This Row],[g]]/(997.25*0.15)</f>
        <v>1.0095094844154757</v>
      </c>
      <c r="X11" s="2" t="str">
        <f>_xlfn.XLOOKUP(Infill[[#This Row],[% Effective]],Rating[Max %],Rating[Name],,1)</f>
        <v>Normal</v>
      </c>
      <c r="Y11">
        <f>Infill[[#This Row],[hs]]*60+Infill[[#This Row],[min]]</f>
        <v>689</v>
      </c>
      <c r="Z11" s="2">
        <f>Infill[[#This Row],[Total Time]]/AVERAGEIFS(Infill[Total Time],Infill[Material Usage],"Normal")</f>
        <v>1.2985814899315544</v>
      </c>
      <c r="AA11" s="2" t="str">
        <f>_xlfn.XLOOKUP(Infill[[#This Row],[t prom]],Rating[Max %],Rating[Name],,1)</f>
        <v>High</v>
      </c>
      <c r="AB11" s="3">
        <f>Infill[[#This Row],[g]]/Infill[[#This Row],[Total Time]]</f>
        <v>0.21917271407837444</v>
      </c>
      <c r="AC11" s="2">
        <f>Infill[[#This Row],[g/t]]/AVERAGEIFS(Infill[g/t],Infill[Material Usage],"Normal")</f>
        <v>0.76080239498326518</v>
      </c>
      <c r="AD11" t="str">
        <f>_xlfn.XLOOKUP(Infill[[#This Row],[g/t prom]],Rating[Max %],Rating[Name],,1)</f>
        <v>Normal-Low</v>
      </c>
      <c r="AE11" s="2" t="str">
        <f>SUBSTITUTE(LOWER(Infill[[#This Row],[name]])," ","-")</f>
        <v>tpms-d</v>
      </c>
      <c r="AF11" t="s">
        <v>192</v>
      </c>
      <c r="AG11" t="str">
        <f>"!["&amp;Infill[[#This Row],[SVG]]&amp;"](https://github.com/SoftFever/OrcaSlicer/blob/main/resources/images/"&amp;Infill[[#This Row],[SVG]]&amp;".svg?raw=true)"</f>
        <v>![param_tpmsd](https://github.com/SoftFever/OrcaSlicer/blob/main/resources/images/param_tpmsd.svg?raw=true)</v>
      </c>
      <c r="AH11" s="2" t="str">
        <f>"["&amp;Infill[[#This Row],[name]]&amp;"](#"&amp;Infill[[#This Row],[image]]&amp;")"</f>
        <v>[TPMS-D](#tpms-d)</v>
      </c>
      <c r="AI11"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**Horizontal Strength (X-Y):** High
- **Vertical Strength (Z):** High
- **Density Calculation:**  % of  total infill volume
- **Material Usage:** Normal
- **Print Time:** High
- **Material/Time (Higher better):** Normal-Low
![infill-top-tpms-d](https://github.com/SoftFever/OrcaSlicer/blob/main/doc/images/fill/infill-top-tpms-d.png?raw=true)
</v>
      </c>
      <c r="AJ11" t="str">
        <f>IF(OR(Infill[[#This Row],[Is Infill]],Infill[[#This Row],[Is Surface]])," { """&amp;Infill[[#This Row],[infill]]&amp;""", "&amp;Infill[[#This Row],[ip]]&amp;" },","")</f>
        <v xml:space="preserve"> { "tpmsd", ipTpmsD },</v>
      </c>
      <c r="AK11" t="str">
        <f>IF(OR(Infill[[#This Row],[Is Infill]],Infill[[#This Row],[Is Surface]]),"def-&gt;enum_values.push_back("""&amp;Infill[[#This Row],[infill]]&amp;""");","")</f>
        <v>def-&gt;enum_values.push_back("tpmsd");</v>
      </c>
      <c r="AL11" t="str">
        <f>IF(OR(Infill[[#This Row],[Is Infill]],Infill[[#This Row],[Is Surface]]),"def-&gt;enum_labels.push_back(L("""&amp;Infill[[#This Row],[name]]&amp;"""));","")</f>
        <v>def-&gt;enum_labels.push_back(L("TPMS-D"));</v>
      </c>
    </row>
    <row r="12" spans="1:38" ht="75" x14ac:dyDescent="0.25">
      <c r="A12">
        <v>0</v>
      </c>
      <c r="B12" s="7">
        <v>0.15</v>
      </c>
      <c r="C12" t="s">
        <v>71</v>
      </c>
      <c r="E12">
        <v>11</v>
      </c>
      <c r="F12">
        <v>9</v>
      </c>
      <c r="G12">
        <v>19</v>
      </c>
      <c r="H12" t="b">
        <v>1</v>
      </c>
      <c r="I12" t="b">
        <v>0</v>
      </c>
      <c r="J12" t="s">
        <v>10</v>
      </c>
      <c r="K12" t="s">
        <v>10</v>
      </c>
      <c r="L12" t="s">
        <v>112</v>
      </c>
      <c r="M12" t="s">
        <v>146</v>
      </c>
      <c r="N12" s="6" t="s">
        <v>62</v>
      </c>
      <c r="O12">
        <v>6</v>
      </c>
      <c r="P12" t="str">
        <f>_xlfn.XLOOKUP(Infill[[#This Row],[XY-N]],Rating[N],Rating[Name])</f>
        <v>High</v>
      </c>
      <c r="Q12">
        <v>6</v>
      </c>
      <c r="R12" t="str">
        <f>_xlfn.XLOOKUP(Infill[[#This Row],[Z-N]],Rating[N],Rating[Name])</f>
        <v>High</v>
      </c>
      <c r="S12" s="2" t="s">
        <v>81</v>
      </c>
      <c r="T12">
        <v>17</v>
      </c>
      <c r="U12">
        <v>36</v>
      </c>
      <c r="V12">
        <v>190.54</v>
      </c>
      <c r="W12" s="2">
        <f>Infill[[#This Row],[g]]/(997.25*0.15)</f>
        <v>1.2737695328820924</v>
      </c>
      <c r="X12" s="2" t="str">
        <f>_xlfn.XLOOKUP(Infill[[#This Row],[% Effective]],Rating[Max %],Rating[Name],,1)</f>
        <v>High</v>
      </c>
      <c r="Y12">
        <f>Infill[[#This Row],[hs]]*60+Infill[[#This Row],[min]]</f>
        <v>1056</v>
      </c>
      <c r="Z12" s="2">
        <f>Infill[[#This Row],[Total Time]]/AVERAGEIFS(Infill[Total Time],Infill[Material Usage],"Normal")</f>
        <v>1.9902787421882751</v>
      </c>
      <c r="AA12" s="2" t="str">
        <f>_xlfn.XLOOKUP(Infill[[#This Row],[t prom]],Rating[Max %],Rating[Name],,1)</f>
        <v>Ultra-High</v>
      </c>
      <c r="AB12" s="3">
        <f>Infill[[#This Row],[g]]/Infill[[#This Row],[Total Time]]</f>
        <v>0.18043560606060605</v>
      </c>
      <c r="AC12" s="2">
        <f>Infill[[#This Row],[g/t]]/AVERAGEIFS(Infill[g/t],Infill[Material Usage],"Normal")</f>
        <v>0.62633636585837626</v>
      </c>
      <c r="AD12" t="str">
        <f>_xlfn.XLOOKUP(Infill[[#This Row],[g/t prom]],Rating[Max %],Rating[Name],,1)</f>
        <v>Low</v>
      </c>
      <c r="AE12" s="2" t="str">
        <f>SUBSTITUTE(LOWER(Infill[[#This Row],[name]])," ","-")</f>
        <v>honeycomb</v>
      </c>
      <c r="AF12" t="s">
        <v>193</v>
      </c>
      <c r="AG12" t="str">
        <f>"!["&amp;Infill[[#This Row],[SVG]]&amp;"](https://github.com/SoftFever/OrcaSlicer/blob/main/resources/images/"&amp;Infill[[#This Row],[SVG]]&amp;".svg?raw=true)"</f>
        <v>![param_honeycomb](https://github.com/SoftFever/OrcaSlicer/blob/main/resources/images/param_honeycomb.svg?raw=true)</v>
      </c>
      <c r="AH12" s="2" t="str">
        <f>"["&amp;Infill[[#This Row],[name]]&amp;"](#"&amp;Infill[[#This Row],[image]]&amp;")"</f>
        <v>[Honeycomb](#honeycomb)</v>
      </c>
      <c r="AI12"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Honeycomb
Hexagonal pattern balancing strength and material use. Double walls in each hexagon increase material consumption.
- **Horizontal Strength (X-Y):** High
- **Vertical Strength (Z):** High
- **Density Calculation:**  % of  total infill volume
- **Material Usage:** High
- **Print Time:** Ultra-High
- **Material/Time (Higher better):** Low
![infill-top-honeycomb](https://github.com/SoftFever/OrcaSlicer/blob/main/doc/images/fill/infill-top-honeycomb.png?raw=true)
</v>
      </c>
      <c r="AJ12" t="str">
        <f>IF(OR(Infill[[#This Row],[Is Infill]],Infill[[#This Row],[Is Surface]])," { """&amp;Infill[[#This Row],[infill]]&amp;""", "&amp;Infill[[#This Row],[ip]]&amp;" },","")</f>
        <v xml:space="preserve"> { "honeycomb", ipHoneycomb },</v>
      </c>
      <c r="AK12" t="str">
        <f>IF(OR(Infill[[#This Row],[Is Infill]],Infill[[#This Row],[Is Surface]]),"def-&gt;enum_values.push_back("""&amp;Infill[[#This Row],[infill]]&amp;""");","")</f>
        <v>def-&gt;enum_values.push_back("honeycomb");</v>
      </c>
      <c r="AL12" t="str">
        <f>IF(OR(Infill[[#This Row],[Is Infill]],Infill[[#This Row],[Is Surface]]),"def-&gt;enum_labels.push_back(L("""&amp;Infill[[#This Row],[name]]&amp;"""));","")</f>
        <v>def-&gt;enum_labels.push_back(L("Honeycomb"));</v>
      </c>
    </row>
    <row r="13" spans="1:38" ht="90" x14ac:dyDescent="0.25">
      <c r="A13">
        <v>1</v>
      </c>
      <c r="B13" s="7">
        <v>0.4</v>
      </c>
      <c r="C13" t="s">
        <v>72</v>
      </c>
      <c r="E13">
        <v>12</v>
      </c>
      <c r="F13">
        <v>8.1</v>
      </c>
      <c r="G13">
        <v>5</v>
      </c>
      <c r="H13" t="b">
        <v>1</v>
      </c>
      <c r="I13" t="b">
        <v>0</v>
      </c>
      <c r="J13" t="s">
        <v>11</v>
      </c>
      <c r="K13" t="s">
        <v>5</v>
      </c>
      <c r="L13" t="s">
        <v>113</v>
      </c>
      <c r="M13" t="s">
        <v>147</v>
      </c>
      <c r="N13" s="6" t="s">
        <v>63</v>
      </c>
      <c r="O13">
        <v>5</v>
      </c>
      <c r="P13" t="str">
        <f>_xlfn.XLOOKUP(Infill[[#This Row],[XY-N]],Rating[N],Rating[Name])</f>
        <v>Normal-High</v>
      </c>
      <c r="Q13">
        <v>5</v>
      </c>
      <c r="R13" t="str">
        <f>_xlfn.XLOOKUP(Infill[[#This Row],[Z-N]],Rating[N],Rating[Name])</f>
        <v>Normal-High</v>
      </c>
      <c r="S13" s="2" t="s">
        <v>82</v>
      </c>
      <c r="T13">
        <v>5</v>
      </c>
      <c r="U13">
        <v>29</v>
      </c>
      <c r="V13">
        <v>97.57</v>
      </c>
      <c r="W13" s="2">
        <f>Infill[[#This Row],[g]]/(997.25*0.15)</f>
        <v>0.65226038271914422</v>
      </c>
      <c r="X13" s="2" t="str">
        <f>_xlfn.XLOOKUP(Infill[[#This Row],[% Effective]],Rating[Max %],Rating[Name],,1)</f>
        <v>Low</v>
      </c>
      <c r="Y13">
        <f>Infill[[#This Row],[hs]]*60+Infill[[#This Row],[min]]</f>
        <v>329</v>
      </c>
      <c r="Z13" s="2">
        <f>Infill[[#This Row],[Total Time]]/AVERAGEIFS(Infill[Total Time],Infill[Material Usage],"Normal")</f>
        <v>0.62007737327646073</v>
      </c>
      <c r="AA13" s="2" t="str">
        <f>_xlfn.XLOOKUP(Infill[[#This Row],[t prom]],Rating[Max %],Rating[Name],,1)</f>
        <v>Low</v>
      </c>
      <c r="AB13" s="3">
        <f>Infill[[#This Row],[g]]/Infill[[#This Row],[Total Time]]</f>
        <v>0.29656534954407293</v>
      </c>
      <c r="AC13" s="2">
        <f>Infill[[#This Row],[g/t]]/AVERAGEIFS(Infill[g/t],Infill[Material Usage],"Normal")</f>
        <v>1.0294512670108069</v>
      </c>
      <c r="AD13" t="str">
        <f>_xlfn.XLOOKUP(Infill[[#This Row],[g/t prom]],Rating[Max %],Rating[Name],,1)</f>
        <v>Normal</v>
      </c>
      <c r="AE13" s="2" t="str">
        <f>SUBSTITUTE(LOWER(Infill[[#This Row],[name]])," ","-")</f>
        <v>adaptive-cubic</v>
      </c>
      <c r="AF13" t="s">
        <v>194</v>
      </c>
      <c r="AG13" t="str">
        <f>"!["&amp;Infill[[#This Row],[SVG]]&amp;"](https://github.com/SoftFever/OrcaSlicer/blob/main/resources/images/"&amp;Infill[[#This Row],[SVG]]&amp;".svg?raw=true)"</f>
        <v>![param_adaptivecubic](https://github.com/SoftFever/OrcaSlicer/blob/main/resources/images/param_adaptivecubic.svg?raw=true)</v>
      </c>
      <c r="AH13" s="2" t="str">
        <f>"["&amp;Infill[[#This Row],[name]]&amp;"](#"&amp;Infill[[#This Row],[image]]&amp;")"</f>
        <v>[Adaptive Cubic](#adaptive-cubic)</v>
      </c>
      <c r="AI13"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Adaptive Cubic
[Cubic](#cubic) pattern with adaptive density: denser near walls, sparser in the center. Saves material and time while maintaining strength, ideal for large prints.
- **Horizontal Strength (X-Y):** Normal-High
- **Vertical Strength (Z):** Normal-High
- **Density Calculation:** Same as [Cubic](#cubic) but reduced in the center
- **Material Usage:** Low
- **Print Time:** Low
- **Material/Time (Higher better):** Normal
![infill-top-adaptive-cubic](https://github.com/SoftFever/OrcaSlicer/blob/main/doc/images/fill/infill-top-adaptive-cubic.png?raw=true)
</v>
      </c>
      <c r="AJ13" t="str">
        <f>IF(OR(Infill[[#This Row],[Is Infill]],Infill[[#This Row],[Is Surface]])," { """&amp;Infill[[#This Row],[infill]]&amp;""", "&amp;Infill[[#This Row],[ip]]&amp;" },","")</f>
        <v xml:space="preserve"> { "adaptivecubic", ipAdaptiveCubic },</v>
      </c>
      <c r="AK13" t="str">
        <f>IF(OR(Infill[[#This Row],[Is Infill]],Infill[[#This Row],[Is Surface]]),"def-&gt;enum_values.push_back("""&amp;Infill[[#This Row],[infill]]&amp;""");","")</f>
        <v>def-&gt;enum_values.push_back("adaptivecubic");</v>
      </c>
      <c r="AL13" t="str">
        <f>IF(OR(Infill[[#This Row],[Is Infill]],Infill[[#This Row],[Is Surface]]),"def-&gt;enum_labels.push_back(L("""&amp;Infill[[#This Row],[name]]&amp;"""));","")</f>
        <v>def-&gt;enum_labels.push_back(L("Adaptive Cubic"));</v>
      </c>
    </row>
    <row r="14" spans="1:38" ht="45" hidden="1" x14ac:dyDescent="0.25">
      <c r="A14">
        <v>2</v>
      </c>
      <c r="B14" s="7">
        <v>0.75</v>
      </c>
      <c r="C14" t="s">
        <v>23</v>
      </c>
      <c r="E14">
        <v>13</v>
      </c>
      <c r="F14">
        <v>0</v>
      </c>
      <c r="G14">
        <v>8</v>
      </c>
      <c r="H14" t="b">
        <v>0</v>
      </c>
      <c r="I14" t="b">
        <v>1</v>
      </c>
      <c r="J14" t="s">
        <v>164</v>
      </c>
      <c r="K14" t="s">
        <v>172</v>
      </c>
      <c r="L14" t="s">
        <v>114</v>
      </c>
      <c r="M14" t="s">
        <v>161</v>
      </c>
      <c r="N14" s="8" t="s">
        <v>134</v>
      </c>
      <c r="P14" t="e">
        <f>_xlfn.XLOOKUP(Infill[[#This Row],[XY-N]],Rating[N],Rating[Name])</f>
        <v>#N/A</v>
      </c>
      <c r="R14" t="e">
        <f>_xlfn.XLOOKUP(Infill[[#This Row],[Z-N]],Rating[N],Rating[Name])</f>
        <v>#N/A</v>
      </c>
      <c r="S14" s="2"/>
      <c r="W14" s="2">
        <f>Infill[[#This Row],[g]]/(997.25*0.15)</f>
        <v>0</v>
      </c>
      <c r="X14" s="2" t="str">
        <f>_xlfn.XLOOKUP(Infill[[#This Row],[% Effective]],Rating[Max %],Rating[Name],,1)</f>
        <v>Ultra-Low</v>
      </c>
      <c r="Y14">
        <f>Infill[[#This Row],[hs]]*60+Infill[[#This Row],[min]]</f>
        <v>0</v>
      </c>
      <c r="Z14" s="2">
        <f>Infill[[#This Row],[Total Time]]/AVERAGEIFS(Infill[Total Time],Infill[Material Usage],"Normal")</f>
        <v>0</v>
      </c>
      <c r="AA14" s="2" t="str">
        <f>_xlfn.XLOOKUP(Infill[[#This Row],[t prom]],Rating[Max %],Rating[Name],,1)</f>
        <v>Ultra-Low</v>
      </c>
      <c r="AB14" s="3" t="e">
        <f>Infill[[#This Row],[g]]/Infill[[#This Row],[Total Time]]</f>
        <v>#DIV/0!</v>
      </c>
      <c r="AC14" s="2" t="e">
        <f>Infill[[#This Row],[g/t]]/AVERAGEIFS(Infill[g/t],Infill[Material Usage],"Normal")</f>
        <v>#DIV/0!</v>
      </c>
      <c r="AD14" s="2" t="e">
        <f>_xlfn.XLOOKUP(Infill[[#This Row],[g/t prom]],Rating[Max %],Rating[Name],,1)</f>
        <v>#DIV/0!</v>
      </c>
      <c r="AE14" s="2" t="str">
        <f>SUBSTITUTE(LOWER(Infill[[#This Row],[name]])," ","-")</f>
        <v>monotonic</v>
      </c>
      <c r="AF14" t="s">
        <v>181</v>
      </c>
      <c r="AG14" t="str">
        <f>"!["&amp;Infill[[#This Row],[SVG]]&amp;"](https://github.com/SoftFever/OrcaSlicer/blob/main/resources/images/"&amp;Infill[[#This Row],[SVG]]&amp;".svg?raw=true)"</f>
        <v>![param_monotonic.svg](https://github.com/SoftFever/OrcaSlicer/blob/main/resources/images/param_monotonic.svg.svg?raw=true)</v>
      </c>
      <c r="AH14" s="2" t="str">
        <f>"["&amp;Infill[[#This Row],[name]]&amp;"](#"&amp;Infill[[#This Row],[image]]&amp;")"</f>
        <v>[Monotonic](#monotonic)</v>
      </c>
      <c r="AI14"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c>
      <c r="AJ14" t="str">
        <f>IF(OR(Infill[[#This Row],[Is Infill]],Infill[[#This Row],[Is Surface]])," { """&amp;Infill[[#This Row],[infill]]&amp;""", "&amp;Infill[[#This Row],[ip]]&amp;" },","")</f>
        <v xml:space="preserve"> { "monotonic", ipMonotonic },</v>
      </c>
      <c r="AK14" t="str">
        <f>IF(OR(Infill[[#This Row],[Is Infill]],Infill[[#This Row],[Is Surface]]),"def-&gt;enum_values.push_back("""&amp;Infill[[#This Row],[infill]]&amp;""");","")</f>
        <v>def-&gt;enum_values.push_back("monotonic");</v>
      </c>
      <c r="AL14" t="str">
        <f>IF(OR(Infill[[#This Row],[Is Infill]],Infill[[#This Row],[Is Surface]]),"def-&gt;enum_labels.push_back(L("""&amp;Infill[[#This Row],[name]]&amp;"""));","")</f>
        <v>def-&gt;enum_labels.push_back(L("Monotonic"));</v>
      </c>
    </row>
    <row r="15" spans="1:38" ht="75" hidden="1" x14ac:dyDescent="0.25">
      <c r="A15">
        <v>3</v>
      </c>
      <c r="B15" s="7">
        <v>0.92500000000000004</v>
      </c>
      <c r="C15" t="s">
        <v>25</v>
      </c>
      <c r="E15">
        <v>14</v>
      </c>
      <c r="F15">
        <v>0.1</v>
      </c>
      <c r="G15">
        <v>9</v>
      </c>
      <c r="H15" t="b">
        <v>0</v>
      </c>
      <c r="I15" t="b">
        <v>1</v>
      </c>
      <c r="J15" t="s">
        <v>165</v>
      </c>
      <c r="K15" t="s">
        <v>172</v>
      </c>
      <c r="L15" t="s">
        <v>115</v>
      </c>
      <c r="M15" t="s">
        <v>162</v>
      </c>
      <c r="N15" s="8" t="s">
        <v>135</v>
      </c>
      <c r="P15" t="e">
        <f>_xlfn.XLOOKUP(Infill[[#This Row],[XY-N]],Rating[N],Rating[Name])</f>
        <v>#N/A</v>
      </c>
      <c r="R15" t="e">
        <f>_xlfn.XLOOKUP(Infill[[#This Row],[Z-N]],Rating[N],Rating[Name])</f>
        <v>#N/A</v>
      </c>
      <c r="S15" s="2"/>
      <c r="W15" s="2">
        <f>Infill[[#This Row],[g]]/(997.25*0.15)</f>
        <v>0</v>
      </c>
      <c r="X15" s="2" t="str">
        <f>_xlfn.XLOOKUP(Infill[[#This Row],[% Effective]],Rating[Max %],Rating[Name],,1)</f>
        <v>Ultra-Low</v>
      </c>
      <c r="Y15">
        <f>Infill[[#This Row],[hs]]*60+Infill[[#This Row],[min]]</f>
        <v>0</v>
      </c>
      <c r="Z15" s="2">
        <f>Infill[[#This Row],[Total Time]]/AVERAGEIFS(Infill[Total Time],Infill[Material Usage],"Normal")</f>
        <v>0</v>
      </c>
      <c r="AA15" s="2" t="str">
        <f>_xlfn.XLOOKUP(Infill[[#This Row],[t prom]],Rating[Max %],Rating[Name],,1)</f>
        <v>Ultra-Low</v>
      </c>
      <c r="AB15" s="3" t="e">
        <f>Infill[[#This Row],[g]]/Infill[[#This Row],[Total Time]]</f>
        <v>#DIV/0!</v>
      </c>
      <c r="AC15" s="2" t="e">
        <f>Infill[[#This Row],[g/t]]/AVERAGEIFS(Infill[g/t],Infill[Material Usage],"Normal")</f>
        <v>#DIV/0!</v>
      </c>
      <c r="AD15" s="2" t="e">
        <f>_xlfn.XLOOKUP(Infill[[#This Row],[g/t prom]],Rating[Max %],Rating[Name],,1)</f>
        <v>#DIV/0!</v>
      </c>
      <c r="AE15" s="2" t="str">
        <f>SUBSTITUTE(LOWER(Infill[[#This Row],[name]])," ","-")</f>
        <v>monotonic-line</v>
      </c>
      <c r="AF15" t="s">
        <v>182</v>
      </c>
      <c r="AG15" t="str">
        <f>"!["&amp;Infill[[#This Row],[SVG]]&amp;"](https://github.com/SoftFever/OrcaSlicer/blob/main/resources/images/"&amp;Infill[[#This Row],[SVG]]&amp;".svg?raw=true)"</f>
        <v>![param_monotonicline.svg](https://github.com/SoftFever/OrcaSlicer/blob/main/resources/images/param_monotonicline.svg.svg?raw=true)</v>
      </c>
      <c r="AH15" s="2" t="str">
        <f>"["&amp;Infill[[#This Row],[name]]&amp;"](#"&amp;Infill[[#This Row],[image]]&amp;")"</f>
        <v>[Monotonic line](#monotonic-line)</v>
      </c>
      <c r="AI15"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c>
      <c r="AJ15" t="str">
        <f>IF(OR(Infill[[#This Row],[Is Infill]],Infill[[#This Row],[Is Surface]])," { """&amp;Infill[[#This Row],[infill]]&amp;""", "&amp;Infill[[#This Row],[ip]]&amp;" },","")</f>
        <v xml:space="preserve"> { "monotonicline", ipMonotonicLine },</v>
      </c>
      <c r="AK15" t="str">
        <f>IF(OR(Infill[[#This Row],[Is Infill]],Infill[[#This Row],[Is Surface]]),"def-&gt;enum_values.push_back("""&amp;Infill[[#This Row],[infill]]&amp;""");","")</f>
        <v>def-&gt;enum_values.push_back("monotonicline");</v>
      </c>
      <c r="AL15" t="str">
        <f>IF(OR(Infill[[#This Row],[Is Infill]],Infill[[#This Row],[Is Surface]]),"def-&gt;enum_labels.push_back(L("""&amp;Infill[[#This Row],[name]]&amp;"""));","")</f>
        <v>def-&gt;enum_labels.push_back(L("Monotonic line"));</v>
      </c>
    </row>
    <row r="16" spans="1:38" ht="150" x14ac:dyDescent="0.25">
      <c r="A16">
        <v>4</v>
      </c>
      <c r="B16" s="7">
        <v>1.075</v>
      </c>
      <c r="C16" t="s">
        <v>24</v>
      </c>
      <c r="E16">
        <v>15</v>
      </c>
      <c r="F16">
        <v>1.1000000000000001</v>
      </c>
      <c r="G16">
        <v>11</v>
      </c>
      <c r="H16" t="b">
        <v>1</v>
      </c>
      <c r="I16" t="b">
        <v>1</v>
      </c>
      <c r="J16" t="s">
        <v>12</v>
      </c>
      <c r="K16" t="s">
        <v>1</v>
      </c>
      <c r="L16" t="s">
        <v>116</v>
      </c>
      <c r="M16" t="s">
        <v>148</v>
      </c>
      <c r="N16" s="6" t="s">
        <v>64</v>
      </c>
      <c r="O16">
        <v>3</v>
      </c>
      <c r="P16" t="str">
        <f>_xlfn.XLOOKUP(Infill[[#This Row],[XY-N]],Rating[N],Rating[Name])</f>
        <v>Normal-Low</v>
      </c>
      <c r="Q16">
        <v>4</v>
      </c>
      <c r="R16" t="str">
        <f>_xlfn.XLOOKUP(Infill[[#This Row],[Z-N]],Rating[N],Rating[Name])</f>
        <v>Normal</v>
      </c>
      <c r="S16" s="2" t="s">
        <v>81</v>
      </c>
      <c r="T16">
        <v>8</v>
      </c>
      <c r="U16">
        <v>8</v>
      </c>
      <c r="V16">
        <v>148.6</v>
      </c>
      <c r="W16" s="2">
        <f>Infill[[#This Row],[g]]/(997.25*0.15)</f>
        <v>0.99339851257625134</v>
      </c>
      <c r="X16" s="2" t="str">
        <f>_xlfn.XLOOKUP(Infill[[#This Row],[% Effective]],Rating[Max %],Rating[Name],,1)</f>
        <v>Normal</v>
      </c>
      <c r="Y16">
        <f>Infill[[#This Row],[hs]]*60+Infill[[#This Row],[min]]</f>
        <v>488</v>
      </c>
      <c r="Z16" s="2">
        <f>Infill[[#This Row],[Total Time]]/AVERAGEIFS(Infill[Total Time],Infill[Material Usage],"Normal")</f>
        <v>0.91975002479912704</v>
      </c>
      <c r="AA16" s="2" t="str">
        <f>_xlfn.XLOOKUP(Infill[[#This Row],[t prom]],Rating[Max %],Rating[Name],,1)</f>
        <v>Normal-Low</v>
      </c>
      <c r="AB16" s="3">
        <f>Infill[[#This Row],[g]]/Infill[[#This Row],[Total Time]]</f>
        <v>0.30450819672131146</v>
      </c>
      <c r="AC16" s="2">
        <f>Infill[[#This Row],[g/t]]/AVERAGEIFS(Infill[g/t],Infill[Material Usage],"Normal")</f>
        <v>1.0570228430659732</v>
      </c>
      <c r="AD16" t="str">
        <f>_xlfn.XLOOKUP(Infill[[#This Row],[g/t prom]],Rating[Max %],Rating[Name],,1)</f>
        <v>Normal</v>
      </c>
      <c r="AE16" s="2" t="str">
        <f>SUBSTITUTE(LOWER(Infill[[#This Row],[name]])," ","-")</f>
        <v>aligned-rectilinear</v>
      </c>
      <c r="AF16" t="s">
        <v>195</v>
      </c>
      <c r="AG16" t="str">
        <f>"!["&amp;Infill[[#This Row],[SVG]]&amp;"](https://github.com/SoftFever/OrcaSlicer/blob/main/resources/images/"&amp;Infill[[#This Row],[SVG]]&amp;".svg?raw=true)"</f>
        <v>![param_alignedrectilinear](https://github.com/SoftFever/OrcaSlicer/blob/main/resources/images/param_alignedrectilinear.svg?raw=true)</v>
      </c>
      <c r="AH16" s="2" t="str">
        <f>"["&amp;Infill[[#This Row],[name]]&amp;"](#"&amp;Infill[[#This Row],[image]]&amp;")"</f>
        <v>[Aligned Rectilinear](#aligned-rectilinear)</v>
      </c>
      <c r="AI16"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**Horizontal Strength (X-Y):** Normal-Low
- **Vertical Strength (Z):** Normal
- **Density Calculation:**  % of  total infill volume
- **Material Usage:** Normal
- **Print Time:** Normal-Low
- **Material/Time (Higher better):** Normal
![infill-top-aligned-rectilinear](https://github.com/SoftFever/OrcaSlicer/blob/main/doc/images/fill/infill-top-aligned-rectilinear.png?raw=true)
</v>
      </c>
      <c r="AJ16" t="str">
        <f>IF(OR(Infill[[#This Row],[Is Infill]],Infill[[#This Row],[Is Surface]])," { """&amp;Infill[[#This Row],[infill]]&amp;""", "&amp;Infill[[#This Row],[ip]]&amp;" },","")</f>
        <v xml:space="preserve"> { "alignedrectilinear", ipAlignedRectilinear },</v>
      </c>
      <c r="AK16" t="str">
        <f>IF(OR(Infill[[#This Row],[Is Infill]],Infill[[#This Row],[Is Surface]]),"def-&gt;enum_values.push_back("""&amp;Infill[[#This Row],[infill]]&amp;""");","")</f>
        <v>def-&gt;enum_values.push_back("alignedrectilinear");</v>
      </c>
      <c r="AL16" t="str">
        <f>IF(OR(Infill[[#This Row],[Is Infill]],Infill[[#This Row],[Is Surface]]),"def-&gt;enum_labels.push_back(L("""&amp;Infill[[#This Row],[name]]&amp;"""));","")</f>
        <v>def-&gt;enum_labels.push_back(L("Aligned Rectilinear"));</v>
      </c>
    </row>
    <row r="17" spans="1:38" ht="165" x14ac:dyDescent="0.25">
      <c r="A17">
        <v>5</v>
      </c>
      <c r="B17" s="7">
        <v>1.25</v>
      </c>
      <c r="C17" t="s">
        <v>26</v>
      </c>
      <c r="E17">
        <v>16</v>
      </c>
      <c r="F17">
        <v>9.1999999999999993</v>
      </c>
      <c r="G17">
        <v>21</v>
      </c>
      <c r="H17" t="b">
        <v>1</v>
      </c>
      <c r="I17" t="b">
        <v>0</v>
      </c>
      <c r="J17" t="s">
        <v>70</v>
      </c>
      <c r="K17" t="s">
        <v>10</v>
      </c>
      <c r="L17" t="s">
        <v>117</v>
      </c>
      <c r="M17" t="s">
        <v>149</v>
      </c>
      <c r="N17" s="8" t="s">
        <v>95</v>
      </c>
      <c r="O17">
        <v>3</v>
      </c>
      <c r="P17" t="str">
        <f>_xlfn.XLOOKUP(Infill[[#This Row],[XY-N]],Rating[N],Rating[Name])</f>
        <v>Normal-Low</v>
      </c>
      <c r="Q17">
        <v>3</v>
      </c>
      <c r="R17" t="str">
        <f>_xlfn.XLOOKUP(Infill[[#This Row],[Z-N]],Rating[N],Rating[Name])</f>
        <v>Normal-Low</v>
      </c>
      <c r="S17" s="2" t="s">
        <v>81</v>
      </c>
      <c r="T17">
        <v>8</v>
      </c>
      <c r="U17">
        <v>2</v>
      </c>
      <c r="V17">
        <v>147.52000000000001</v>
      </c>
      <c r="W17" s="2">
        <f>Infill[[#This Row],[g]]/(997.25*0.15)</f>
        <v>0.98617865797610094</v>
      </c>
      <c r="X17" s="2" t="str">
        <f>_xlfn.XLOOKUP(Infill[[#This Row],[% Effective]],Rating[Max %],Rating[Name],,1)</f>
        <v>Normal</v>
      </c>
      <c r="Y17">
        <f>Infill[[#This Row],[hs]]*60+Infill[[#This Row],[min]]</f>
        <v>482</v>
      </c>
      <c r="Z17" s="2">
        <f>Infill[[#This Row],[Total Time]]/AVERAGEIFS(Infill[Total Time],Infill[Material Usage],"Normal")</f>
        <v>0.90844162285487551</v>
      </c>
      <c r="AA17" s="2" t="str">
        <f>_xlfn.XLOOKUP(Infill[[#This Row],[t prom]],Rating[Max %],Rating[Name],,1)</f>
        <v>Normal-Low</v>
      </c>
      <c r="AB17" s="3">
        <f>Infill[[#This Row],[g]]/Infill[[#This Row],[Total Time]]</f>
        <v>0.30605809128630707</v>
      </c>
      <c r="AC17" s="2">
        <f>Infill[[#This Row],[g/t]]/AVERAGEIFS(Infill[g/t],Infill[Material Usage],"Normal")</f>
        <v>1.062402908289779</v>
      </c>
      <c r="AD17" t="str">
        <f>_xlfn.XLOOKUP(Infill[[#This Row],[g/t prom]],Rating[Max %],Rating[Name],,1)</f>
        <v>Normal</v>
      </c>
      <c r="AE17" s="2" t="str">
        <f>SUBSTITUTE(LOWER(Infill[[#This Row],[name]])," ","-")</f>
        <v>2d-honeycomb</v>
      </c>
      <c r="AF17" t="s">
        <v>196</v>
      </c>
      <c r="AG17" t="str">
        <f>"!["&amp;Infill[[#This Row],[SVG]]&amp;"](https://github.com/SoftFever/OrcaSlicer/blob/main/resources/images/"&amp;Infill[[#This Row],[SVG]]&amp;".svg?raw=true)"</f>
        <v>![param_2dhoneycomb](https://github.com/SoftFever/OrcaSlicer/blob/main/resources/images/param_2dhoneycomb.svg?raw=true)</v>
      </c>
      <c r="AH17" s="2" t="str">
        <f>"["&amp;Infill[[#This Row],[name]]&amp;"](#"&amp;Infill[[#This Row],[image]]&amp;")"</f>
        <v>[2D Honeycomb](#2d-honeycomb)</v>
      </c>
      <c r="AI17"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2D Honeycomb
Vertical Honeycomb pattern. Acceptable torsional stiffness. Developed for low densities structures like wings. Improve over [2D Lattice](#2d-lattice) offers same performance with lower densities.This infill includes a Overhang angle parameter to improve the point of contact between layers and reduce the risk of delamination.
- **Horizontal Strength (X-Y):** Normal-Low
- **Vertical Strength (Z):** Normal-Low
- **Density Calculation:**  % of  total infill volume
- **Material Usage:** Normal
- **Print Time:** Normal-Low
- **Material/Time (Higher better):** Normal
![infill-top-2d-honeycomb](https://github.com/SoftFever/OrcaSlicer/blob/main/doc/images/fill/infill-top-2d-honeycomb.png?raw=true)
</v>
      </c>
      <c r="AJ17" t="str">
        <f>IF(OR(Infill[[#This Row],[Is Infill]],Infill[[#This Row],[Is Surface]])," { """&amp;Infill[[#This Row],[infill]]&amp;""", "&amp;Infill[[#This Row],[ip]]&amp;" },","")</f>
        <v xml:space="preserve"> { "2dhoneycomb", ip2DHoneycomb },</v>
      </c>
      <c r="AK17" t="str">
        <f>IF(OR(Infill[[#This Row],[Is Infill]],Infill[[#This Row],[Is Surface]]),"def-&gt;enum_values.push_back("""&amp;Infill[[#This Row],[infill]]&amp;""");","")</f>
        <v>def-&gt;enum_values.push_back("2dhoneycomb");</v>
      </c>
      <c r="AL17" t="str">
        <f>IF(OR(Infill[[#This Row],[Is Infill]],Infill[[#This Row],[Is Surface]]),"def-&gt;enum_labels.push_back(L("""&amp;Infill[[#This Row],[name]]&amp;"""));","")</f>
        <v>def-&gt;enum_labels.push_back(L("2D Honeycomb"));</v>
      </c>
    </row>
    <row r="18" spans="1:38" ht="90" x14ac:dyDescent="0.25">
      <c r="A18">
        <v>6</v>
      </c>
      <c r="B18" s="7">
        <v>1.6</v>
      </c>
      <c r="C18" t="s">
        <v>22</v>
      </c>
      <c r="E18">
        <v>17</v>
      </c>
      <c r="F18">
        <v>9.1</v>
      </c>
      <c r="G18">
        <v>20</v>
      </c>
      <c r="H18" t="b">
        <v>1</v>
      </c>
      <c r="I18" t="b">
        <v>0</v>
      </c>
      <c r="J18" t="s">
        <v>13</v>
      </c>
      <c r="K18" t="s">
        <v>10</v>
      </c>
      <c r="L18" t="s">
        <v>118</v>
      </c>
      <c r="M18" t="s">
        <v>150</v>
      </c>
      <c r="N18" s="6" t="s">
        <v>96</v>
      </c>
      <c r="O18">
        <v>5</v>
      </c>
      <c r="P18" t="str">
        <f>_xlfn.XLOOKUP(Infill[[#This Row],[XY-N]],Rating[N],Rating[Name])</f>
        <v>Normal-High</v>
      </c>
      <c r="Q18">
        <v>5</v>
      </c>
      <c r="R18" t="str">
        <f>_xlfn.XLOOKUP(Infill[[#This Row],[Z-N]],Rating[N],Rating[Name])</f>
        <v>Normal-High</v>
      </c>
      <c r="S18" s="2" t="s">
        <v>55</v>
      </c>
      <c r="T18">
        <v>12</v>
      </c>
      <c r="U18">
        <v>28</v>
      </c>
      <c r="V18">
        <v>123.92</v>
      </c>
      <c r="W18" s="2">
        <f>Infill[[#This Row],[g]]/(997.25*0.15)</f>
        <v>0.82841146486170303</v>
      </c>
      <c r="X18" s="2" t="str">
        <f>_xlfn.XLOOKUP(Infill[[#This Row],[% Effective]],Rating[Max %],Rating[Name],,1)</f>
        <v>Normal-Low</v>
      </c>
      <c r="Y18">
        <f>Infill[[#This Row],[hs]]*60+Infill[[#This Row],[min]]</f>
        <v>748</v>
      </c>
      <c r="Z18" s="2">
        <f>Infill[[#This Row],[Total Time]]/AVERAGEIFS(Infill[Total Time],Infill[Material Usage],"Normal")</f>
        <v>1.4097807757166949</v>
      </c>
      <c r="AA18" s="2" t="str">
        <f>_xlfn.XLOOKUP(Infill[[#This Row],[t prom]],Rating[Max %],Rating[Name],,1)</f>
        <v>High</v>
      </c>
      <c r="AB18" s="3">
        <f>Infill[[#This Row],[g]]/Infill[[#This Row],[Total Time]]</f>
        <v>0.16566844919786097</v>
      </c>
      <c r="AC18" s="2">
        <f>Infill[[#This Row],[g/t]]/AVERAGEIFS(Infill[g/t],Infill[Material Usage],"Normal")</f>
        <v>0.57507593248046729</v>
      </c>
      <c r="AD18" t="str">
        <f>_xlfn.XLOOKUP(Infill[[#This Row],[g/t prom]],Rating[Max %],Rating[Name],,1)</f>
        <v>Low</v>
      </c>
      <c r="AE18" s="2" t="str">
        <f>SUBSTITUTE(LOWER(Infill[[#This Row],[name]])," ","-")</f>
        <v>3d-honeycomb</v>
      </c>
      <c r="AF18" t="s">
        <v>197</v>
      </c>
      <c r="AG18" t="str">
        <f>"!["&amp;Infill[[#This Row],[SVG]]&amp;"](https://github.com/SoftFever/OrcaSlicer/blob/main/resources/images/"&amp;Infill[[#This Row],[SVG]]&amp;".svg?raw=true)"</f>
        <v>![param_3dhoneycomb](https://github.com/SoftFever/OrcaSlicer/blob/main/resources/images/param_3dhoneycomb.svg?raw=true)</v>
      </c>
      <c r="AH18" s="2" t="str">
        <f>"["&amp;Infill[[#This Row],[name]]&amp;"](#"&amp;Infill[[#This Row],[image]]&amp;")"</f>
        <v>[3D Honeycomb](#3d-honeycomb)</v>
      </c>
      <c r="AI18"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3D Honeycomb
This infill tries to generate a printable honeycomb structure by printing squares and octagons maintaining a vertical angle high enough to maintain contact with the previous layer.
- **Horizontal Strength (X-Y):** Normal-High
- **Vertical Strength (Z):** Normal-High
- **Density Calculation:** Unknown
- **Material Usage:** Normal-Low
- **Print Time:** High
- **Material/Time (Higher better):** Low
![infill-top-3d-honeycomb](https://github.com/SoftFever/OrcaSlicer/blob/main/doc/images/fill/infill-top-3d-honeycomb.png?raw=true)
</v>
      </c>
      <c r="AJ18" t="str">
        <f>IF(OR(Infill[[#This Row],[Is Infill]],Infill[[#This Row],[Is Surface]])," { """&amp;Infill[[#This Row],[infill]]&amp;""", "&amp;Infill[[#This Row],[ip]]&amp;" },","")</f>
        <v xml:space="preserve"> { "3dhoneycomb", ip3DHoneycomb },</v>
      </c>
      <c r="AK18" t="str">
        <f>IF(OR(Infill[[#This Row],[Is Infill]],Infill[[#This Row],[Is Surface]]),"def-&gt;enum_values.push_back("""&amp;Infill[[#This Row],[infill]]&amp;""");","")</f>
        <v>def-&gt;enum_values.push_back("3dhoneycomb");</v>
      </c>
      <c r="AL18" t="str">
        <f>IF(OR(Infill[[#This Row],[Is Infill]],Infill[[#This Row],[Is Surface]]),"def-&gt;enum_labels.push_back(L("""&amp;Infill[[#This Row],[name]]&amp;"""));","")</f>
        <v>def-&gt;enum_labels.push_back(L("3D Honeycomb"));</v>
      </c>
    </row>
    <row r="19" spans="1:38" ht="180" x14ac:dyDescent="0.25">
      <c r="A19">
        <v>7</v>
      </c>
      <c r="B19" s="7">
        <v>1.85</v>
      </c>
      <c r="C19" t="s">
        <v>73</v>
      </c>
      <c r="E19">
        <v>18</v>
      </c>
      <c r="F19">
        <v>11.1</v>
      </c>
      <c r="G19">
        <v>24</v>
      </c>
      <c r="H19" t="b">
        <v>1</v>
      </c>
      <c r="I19" t="b">
        <v>1</v>
      </c>
      <c r="J19" t="s">
        <v>14</v>
      </c>
      <c r="K19" t="s">
        <v>176</v>
      </c>
      <c r="L19" t="s">
        <v>119</v>
      </c>
      <c r="M19" t="s">
        <v>151</v>
      </c>
      <c r="N19" s="6" t="s">
        <v>76</v>
      </c>
      <c r="O19">
        <v>2</v>
      </c>
      <c r="P19" t="str">
        <f>_xlfn.XLOOKUP(Infill[[#This Row],[XY-N]],Rating[N],Rating[Name])</f>
        <v>Low</v>
      </c>
      <c r="Q19">
        <v>4</v>
      </c>
      <c r="R19" t="str">
        <f>_xlfn.XLOOKUP(Infill[[#This Row],[Z-N]],Rating[N],Rating[Name])</f>
        <v>Normal</v>
      </c>
      <c r="S19" s="2" t="s">
        <v>81</v>
      </c>
      <c r="T19">
        <v>13</v>
      </c>
      <c r="U19">
        <v>24</v>
      </c>
      <c r="V19">
        <v>148.63</v>
      </c>
      <c r="W19" s="2">
        <f>Infill[[#This Row],[g]]/(997.25*0.15)</f>
        <v>0.99359906409292209</v>
      </c>
      <c r="X19" s="2" t="str">
        <f>_xlfn.XLOOKUP(Infill[[#This Row],[% Effective]],Rating[Max %],Rating[Name],,1)</f>
        <v>Normal</v>
      </c>
      <c r="Y19">
        <f>Infill[[#This Row],[hs]]*60+Infill[[#This Row],[min]]</f>
        <v>804</v>
      </c>
      <c r="Z19" s="2">
        <f>Infill[[#This Row],[Total Time]]/AVERAGEIFS(Infill[Total Time],Infill[Material Usage],"Normal")</f>
        <v>1.5153258605297093</v>
      </c>
      <c r="AA19" s="2" t="str">
        <f>_xlfn.XLOOKUP(Infill[[#This Row],[t prom]],Rating[Max %],Rating[Name],,1)</f>
        <v>High</v>
      </c>
      <c r="AB19" s="3">
        <f>Infill[[#This Row],[g]]/Infill[[#This Row],[Total Time]]</f>
        <v>0.18486318407960198</v>
      </c>
      <c r="AC19" s="2">
        <f>Infill[[#This Row],[g/t]]/AVERAGEIFS(Infill[g/t],Infill[Material Usage],"Normal")</f>
        <v>0.64170557810266515</v>
      </c>
      <c r="AD19" t="str">
        <f>_xlfn.XLOOKUP(Infill[[#This Row],[g/t prom]],Rating[Max %],Rating[Name],,1)</f>
        <v>Low</v>
      </c>
      <c r="AE19" s="2" t="str">
        <f>SUBSTITUTE(LOWER(Infill[[#This Row],[name]])," ","-")</f>
        <v>hilbert-curve</v>
      </c>
      <c r="AF19" t="s">
        <v>198</v>
      </c>
      <c r="AG19" t="str">
        <f>"!["&amp;Infill[[#This Row],[SVG]]&amp;"](https://github.com/SoftFever/OrcaSlicer/blob/main/resources/images/"&amp;Infill[[#This Row],[SVG]]&amp;".svg?raw=true)"</f>
        <v>![param_hilbertcurve](https://github.com/SoftFever/OrcaSlicer/blob/main/resources/images/param_hilbertcurve.svg?raw=true)</v>
      </c>
      <c r="AH19" s="2" t="str">
        <f>"["&amp;Infill[[#This Row],[name]]&amp;"](#"&amp;Infill[[#This Row],[image]]&amp;")"</f>
        <v>[Hilbert Curve](#hilbert-curve)</v>
      </c>
      <c r="AI19"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Hilbert Curve
Hilbert Curve is a space-filling curve that can be used to create a continuous infill pattern. It is known for its Esthetic appeal and ability to fill space efficiently.
Print speed is very low due to the complexity of the path, which can lead to longer print times. It is not recommended for structural parts but can be used for Esthetic purposes.
- **Horizontal Strength (X-Y):** Low
- **Vertical Strength (Z):** Normal
- **Density Calculation:**  % of  total infill volume
- **Material Usage:** Normal
- **Print Time:** High
- **Material/Time (Higher better):** Low
![infill-top-hilbert-curve](https://github.com/SoftFever/OrcaSlicer/blob/main/doc/images/fill/infill-top-hilbert-curve.png?raw=true)
</v>
      </c>
      <c r="AJ19" t="str">
        <f>IF(OR(Infill[[#This Row],[Is Infill]],Infill[[#This Row],[Is Surface]])," { """&amp;Infill[[#This Row],[infill]]&amp;""", "&amp;Infill[[#This Row],[ip]]&amp;" },","")</f>
        <v xml:space="preserve"> { "hilbertcurve", ipHilbertCurve },</v>
      </c>
      <c r="AK19" t="str">
        <f>IF(OR(Infill[[#This Row],[Is Infill]],Infill[[#This Row],[Is Surface]]),"def-&gt;enum_values.push_back("""&amp;Infill[[#This Row],[infill]]&amp;""");","")</f>
        <v>def-&gt;enum_values.push_back("hilbertcurve");</v>
      </c>
      <c r="AL19" t="str">
        <f>IF(OR(Infill[[#This Row],[Is Infill]],Infill[[#This Row],[Is Surface]]),"def-&gt;enum_labels.push_back(L("""&amp;Infill[[#This Row],[name]]&amp;"""));","")</f>
        <v>def-&gt;enum_labels.push_back(L("Hilbert Curve"));</v>
      </c>
    </row>
    <row r="20" spans="1:38" ht="120" x14ac:dyDescent="0.25">
      <c r="A20">
        <v>8</v>
      </c>
      <c r="B20" s="7">
        <v>9.99</v>
      </c>
      <c r="C20" t="s">
        <v>74</v>
      </c>
      <c r="E20">
        <v>19</v>
      </c>
      <c r="F20">
        <v>11.2</v>
      </c>
      <c r="G20">
        <v>25</v>
      </c>
      <c r="H20" t="b">
        <v>1</v>
      </c>
      <c r="I20" t="b">
        <v>1</v>
      </c>
      <c r="J20" t="s">
        <v>15</v>
      </c>
      <c r="K20" t="s">
        <v>176</v>
      </c>
      <c r="L20" t="s">
        <v>120</v>
      </c>
      <c r="M20" t="s">
        <v>152</v>
      </c>
      <c r="N20" s="6" t="s">
        <v>65</v>
      </c>
      <c r="O20">
        <v>2</v>
      </c>
      <c r="P20" t="str">
        <f>_xlfn.XLOOKUP(Infill[[#This Row],[XY-N]],Rating[N],Rating[Name])</f>
        <v>Low</v>
      </c>
      <c r="Q20">
        <v>4</v>
      </c>
      <c r="R20" t="str">
        <f>_xlfn.XLOOKUP(Infill[[#This Row],[Z-N]],Rating[N],Rating[Name])</f>
        <v>Normal</v>
      </c>
      <c r="S20" s="2" t="s">
        <v>81</v>
      </c>
      <c r="T20">
        <v>7</v>
      </c>
      <c r="U20">
        <v>46</v>
      </c>
      <c r="V20">
        <v>148.21</v>
      </c>
      <c r="W20" s="2">
        <f>Infill[[#This Row],[g]]/(997.25*0.15)</f>
        <v>0.99079134285953041</v>
      </c>
      <c r="X20" s="2" t="str">
        <f>_xlfn.XLOOKUP(Infill[[#This Row],[% Effective]],Rating[Max %],Rating[Name],,1)</f>
        <v>Normal</v>
      </c>
      <c r="Y20">
        <f>Infill[[#This Row],[hs]]*60+Infill[[#This Row],[min]]</f>
        <v>466</v>
      </c>
      <c r="Z20" s="2">
        <f>Infill[[#This Row],[Total Time]]/AVERAGEIFS(Infill[Total Time],Infill[Material Usage],"Normal")</f>
        <v>0.87828588433687138</v>
      </c>
      <c r="AA20" s="2" t="str">
        <f>_xlfn.XLOOKUP(Infill[[#This Row],[t prom]],Rating[Max %],Rating[Name],,1)</f>
        <v>Normal-Low</v>
      </c>
      <c r="AB20" s="3">
        <f>Infill[[#This Row],[g]]/Infill[[#This Row],[Total Time]]</f>
        <v>0.31804721030042921</v>
      </c>
      <c r="AC20" s="2">
        <f>Infill[[#This Row],[g/t]]/AVERAGEIFS(Infill[g/t],Infill[Material Usage],"Normal")</f>
        <v>1.1040200890508012</v>
      </c>
      <c r="AD20" t="str">
        <f>_xlfn.XLOOKUP(Infill[[#This Row],[g/t prom]],Rating[Max %],Rating[Name],,1)</f>
        <v>Normal-High</v>
      </c>
      <c r="AE20" s="2" t="str">
        <f>SUBSTITUTE(LOWER(Infill[[#This Row],[name]])," ","-")</f>
        <v>archimedean-chords</v>
      </c>
      <c r="AF20" t="s">
        <v>199</v>
      </c>
      <c r="AG20" t="str">
        <f>"!["&amp;Infill[[#This Row],[SVG]]&amp;"](https://github.com/SoftFever/OrcaSlicer/blob/main/resources/images/"&amp;Infill[[#This Row],[SVG]]&amp;".svg?raw=true)"</f>
        <v>![param_archimedeanchords](https://github.com/SoftFever/OrcaSlicer/blob/main/resources/images/param_archimedeanchords.svg?raw=true)</v>
      </c>
      <c r="AH20" s="2" t="str">
        <f>"["&amp;Infill[[#This Row],[name]]&amp;"](#"&amp;Infill[[#This Row],[image]]&amp;")"</f>
        <v>[Archimedean Chords](#archimedean-chords)</v>
      </c>
      <c r="AI20"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**Horizontal Strength (X-Y):** Low
- **Vertical Strength (Z):** Normal
- **Density Calculation:**  % of  total infill volume
- **Material Usage:** Normal
- **Print Time:** Normal-Low
- **Material/Time (Higher better):** Normal-High
![infill-top-archimedean-chords](https://github.com/SoftFever/OrcaSlicer/blob/main/doc/images/fill/infill-top-archimedean-chords.png?raw=true)
</v>
      </c>
      <c r="AJ20" t="str">
        <f>IF(OR(Infill[[#This Row],[Is Infill]],Infill[[#This Row],[Is Surface]])," { """&amp;Infill[[#This Row],[infill]]&amp;""", "&amp;Infill[[#This Row],[ip]]&amp;" },","")</f>
        <v xml:space="preserve"> { "archimedeanchords", ipArchimedeanChords },</v>
      </c>
      <c r="AK20" t="str">
        <f>IF(OR(Infill[[#This Row],[Is Infill]],Infill[[#This Row],[Is Surface]]),"def-&gt;enum_values.push_back("""&amp;Infill[[#This Row],[infill]]&amp;""");","")</f>
        <v>def-&gt;enum_values.push_back("archimedeanchords");</v>
      </c>
      <c r="AL20" t="str">
        <f>IF(OR(Infill[[#This Row],[Is Infill]],Infill[[#This Row],[Is Surface]]),"def-&gt;enum_labels.push_back(L("""&amp;Infill[[#This Row],[name]]&amp;"""));","")</f>
        <v>def-&gt;enum_labels.push_back(L("Archimedean Chords"));</v>
      </c>
    </row>
    <row r="21" spans="1:38" ht="30" x14ac:dyDescent="0.25">
      <c r="E21">
        <v>20</v>
      </c>
      <c r="F21">
        <v>11.3</v>
      </c>
      <c r="G21">
        <v>26</v>
      </c>
      <c r="H21" t="b">
        <v>1</v>
      </c>
      <c r="I21" t="b">
        <v>1</v>
      </c>
      <c r="J21" t="s">
        <v>16</v>
      </c>
      <c r="K21" t="s">
        <v>176</v>
      </c>
      <c r="L21" t="s">
        <v>121</v>
      </c>
      <c r="M21" t="s">
        <v>153</v>
      </c>
      <c r="N21" s="6" t="s">
        <v>75</v>
      </c>
      <c r="O21">
        <v>2</v>
      </c>
      <c r="P21" t="str">
        <f>_xlfn.XLOOKUP(Infill[[#This Row],[XY-N]],Rating[N],Rating[Name])</f>
        <v>Low</v>
      </c>
      <c r="Q21">
        <v>4</v>
      </c>
      <c r="R21" t="str">
        <f>_xlfn.XLOOKUP(Infill[[#This Row],[Z-N]],Rating[N],Rating[Name])</f>
        <v>Normal</v>
      </c>
      <c r="S21" s="2" t="s">
        <v>81</v>
      </c>
      <c r="T21">
        <v>9</v>
      </c>
      <c r="U21">
        <v>30</v>
      </c>
      <c r="V21">
        <v>148.72</v>
      </c>
      <c r="W21" s="2">
        <f>Infill[[#This Row],[g]]/(997.25*0.15)</f>
        <v>0.99420071864293469</v>
      </c>
      <c r="X21" s="2" t="str">
        <f>_xlfn.XLOOKUP(Infill[[#This Row],[% Effective]],Rating[Max %],Rating[Name],,1)</f>
        <v>Normal</v>
      </c>
      <c r="Y21">
        <f>Infill[[#This Row],[hs]]*60+Infill[[#This Row],[min]]</f>
        <v>570</v>
      </c>
      <c r="Z21" s="2">
        <f>Infill[[#This Row],[Total Time]]/AVERAGEIFS(Infill[Total Time],Infill[Material Usage],"Normal")</f>
        <v>1.0742981847038984</v>
      </c>
      <c r="AA21" s="2" t="str">
        <f>_xlfn.XLOOKUP(Infill[[#This Row],[t prom]],Rating[Max %],Rating[Name],,1)</f>
        <v>Normal</v>
      </c>
      <c r="AB21" s="3">
        <f>Infill[[#This Row],[g]]/Infill[[#This Row],[Total Time]]</f>
        <v>0.26091228070175437</v>
      </c>
      <c r="AC21" s="2">
        <f>Infill[[#This Row],[g/t]]/AVERAGEIFS(Infill[g/t],Infill[Material Usage],"Normal")</f>
        <v>0.90569069636769506</v>
      </c>
      <c r="AD21" t="str">
        <f>_xlfn.XLOOKUP(Infill[[#This Row],[g/t prom]],Rating[Max %],Rating[Name],,1)</f>
        <v>Normal-Low</v>
      </c>
      <c r="AE21" s="2" t="str">
        <f>SUBSTITUTE(LOWER(Infill[[#This Row],[name]])," ","-")</f>
        <v>octagram-spiral</v>
      </c>
      <c r="AF21" t="s">
        <v>200</v>
      </c>
      <c r="AG21" t="str">
        <f>"!["&amp;Infill[[#This Row],[SVG]]&amp;"](https://github.com/SoftFever/OrcaSlicer/blob/main/resources/images/"&amp;Infill[[#This Row],[SVG]]&amp;".svg?raw=true)"</f>
        <v>![param_octagramspiral](https://github.com/SoftFever/OrcaSlicer/blob/main/resources/images/param_octagramspiral.svg?raw=true)</v>
      </c>
      <c r="AH21" s="2" t="str">
        <f>"["&amp;Infill[[#This Row],[name]]&amp;"](#"&amp;Infill[[#This Row],[image]]&amp;")"</f>
        <v>[Octagram Spiral](#octagram-spiral)</v>
      </c>
      <c r="AI21"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Octagram Spiral
Esthetic pattern with low strength and high print time.
- **Horizontal Strength (X-Y):** Low
- **Vertical Strength (Z):** Normal
- **Density Calculation:**  % of  total infill volume
- **Material Usage:** Normal
- **Print Time:** Normal
- **Material/Time (Higher better):** Normal-Low
![infill-top-octagram-spiral](https://github.com/SoftFever/OrcaSlicer/blob/main/doc/images/fill/infill-top-octagram-spiral.png?raw=true)
</v>
      </c>
      <c r="AJ21" t="str">
        <f>IF(OR(Infill[[#This Row],[Is Infill]],Infill[[#This Row],[Is Surface]])," { """&amp;Infill[[#This Row],[infill]]&amp;""", "&amp;Infill[[#This Row],[ip]]&amp;" },","")</f>
        <v xml:space="preserve"> { "octagramspiral", ipOctagramSpiral },</v>
      </c>
      <c r="AK21" t="str">
        <f>IF(OR(Infill[[#This Row],[Is Infill]],Infill[[#This Row],[Is Surface]]),"def-&gt;enum_values.push_back("""&amp;Infill[[#This Row],[infill]]&amp;""");","")</f>
        <v>def-&gt;enum_values.push_back("octagramspiral");</v>
      </c>
      <c r="AL21" t="str">
        <f>IF(OR(Infill[[#This Row],[Is Infill]],Infill[[#This Row],[Is Surface]]),"def-&gt;enum_labels.push_back(L("""&amp;Infill[[#This Row],[name]]&amp;"""));","")</f>
        <v>def-&gt;enum_labels.push_back(L("Octagram Spiral"));</v>
      </c>
    </row>
    <row r="22" spans="1:38" ht="120" x14ac:dyDescent="0.25">
      <c r="E22">
        <v>21</v>
      </c>
      <c r="F22">
        <v>8.3000000000000007</v>
      </c>
      <c r="G22">
        <v>7</v>
      </c>
      <c r="H22" t="b">
        <v>1</v>
      </c>
      <c r="I22" t="b">
        <v>0</v>
      </c>
      <c r="J22" t="s">
        <v>17</v>
      </c>
      <c r="K22" t="s">
        <v>5</v>
      </c>
      <c r="L22" t="s">
        <v>122</v>
      </c>
      <c r="M22" t="s">
        <v>154</v>
      </c>
      <c r="N22" s="6" t="s">
        <v>66</v>
      </c>
      <c r="O22">
        <v>2</v>
      </c>
      <c r="P22" t="str">
        <f>_xlfn.XLOOKUP(Infill[[#This Row],[XY-N]],Rating[N],Rating[Name])</f>
        <v>Low</v>
      </c>
      <c r="Q22">
        <v>2</v>
      </c>
      <c r="R22" t="str">
        <f>_xlfn.XLOOKUP(Infill[[#This Row],[Z-N]],Rating[N],Rating[Name])</f>
        <v>Low</v>
      </c>
      <c r="S22" s="2" t="s">
        <v>83</v>
      </c>
      <c r="T22">
        <v>2</v>
      </c>
      <c r="U22">
        <v>50</v>
      </c>
      <c r="V22">
        <v>49.39</v>
      </c>
      <c r="W22" s="2">
        <f>Infill[[#This Row],[g]]/(997.25*0.15)</f>
        <v>0.33017464694576754</v>
      </c>
      <c r="X22" s="2" t="str">
        <f>_xlfn.XLOOKUP(Infill[[#This Row],[% Effective]],Rating[Max %],Rating[Name],,1)</f>
        <v>Extra-Low</v>
      </c>
      <c r="Y22">
        <f>Infill[[#This Row],[hs]]*60+Infill[[#This Row],[min]]</f>
        <v>170</v>
      </c>
      <c r="Z22" s="2">
        <f>Infill[[#This Row],[Total Time]]/AVERAGEIFS(Infill[Total Time],Infill[Material Usage],"Normal")</f>
        <v>0.32040472175379425</v>
      </c>
      <c r="AA22" s="2" t="str">
        <f>_xlfn.XLOOKUP(Infill[[#This Row],[t prom]],Rating[Max %],Rating[Name],,1)</f>
        <v>Extra-Low</v>
      </c>
      <c r="AB22" s="3">
        <f>Infill[[#This Row],[g]]/Infill[[#This Row],[Total Time]]</f>
        <v>0.29052941176470587</v>
      </c>
      <c r="AC22" s="2">
        <f>Infill[[#This Row],[g/t]]/AVERAGEIFS(Infill[g/t],Infill[Material Usage],"Normal")</f>
        <v>1.0084990424703455</v>
      </c>
      <c r="AD22" t="str">
        <f>_xlfn.XLOOKUP(Infill[[#This Row],[g/t prom]],Rating[Max %],Rating[Name],,1)</f>
        <v>Normal</v>
      </c>
      <c r="AE22" s="2" t="str">
        <f>SUBSTITUTE(LOWER(Infill[[#This Row],[name]])," ","-")</f>
        <v>support-cubic</v>
      </c>
      <c r="AF22" t="s">
        <v>201</v>
      </c>
      <c r="AG22" t="str">
        <f>"!["&amp;Infill[[#This Row],[SVG]]&amp;"](https://github.com/SoftFever/OrcaSlicer/blob/main/resources/images/"&amp;Infill[[#This Row],[SVG]]&amp;".svg?raw=true)"</f>
        <v>![param_supportcubic](https://github.com/SoftFever/OrcaSlicer/blob/main/resources/images/param_supportcubic.svg?raw=true)</v>
      </c>
      <c r="AH22" s="2" t="str">
        <f>"["&amp;Infill[[#This Row],[name]]&amp;"](#"&amp;Infill[[#This Row],[image]]&amp;")"</f>
        <v>[Support Cubic](#support-cubic)</v>
      </c>
      <c r="AI22"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**Horizontal Strength (X-Y):** Low
- **Vertical Strength (Z):** Low
- **Density Calculation:** % of layer before top shell layers
- **Material Usage:** Extra-Low
- **Print Time:** Extra-Low
- **Material/Time (Higher better):** Normal
![infill-top-support-cubic](https://github.com/SoftFever/OrcaSlicer/blob/main/doc/images/fill/infill-top-support-cubic.png?raw=true)
</v>
      </c>
      <c r="AJ22" t="str">
        <f>IF(OR(Infill[[#This Row],[Is Infill]],Infill[[#This Row],[Is Surface]])," { """&amp;Infill[[#This Row],[infill]]&amp;""", "&amp;Infill[[#This Row],[ip]]&amp;" },","")</f>
        <v xml:space="preserve"> { "supportcubic", ipSupportCubic },</v>
      </c>
      <c r="AK22" t="str">
        <f>IF(OR(Infill[[#This Row],[Is Infill]],Infill[[#This Row],[Is Surface]]),"def-&gt;enum_values.push_back("""&amp;Infill[[#This Row],[infill]]&amp;""");","")</f>
        <v>def-&gt;enum_values.push_back("supportcubic");</v>
      </c>
      <c r="AL22" t="str">
        <f>IF(OR(Infill[[#This Row],[Is Infill]],Infill[[#This Row],[Is Surface]]),"def-&gt;enum_labels.push_back(L("""&amp;Infill[[#This Row],[name]]&amp;"""));","")</f>
        <v>def-&gt;enum_labels.push_back(L("Support Cubic"));</v>
      </c>
    </row>
    <row r="23" spans="1:38" ht="60" x14ac:dyDescent="0.25">
      <c r="E23">
        <v>22</v>
      </c>
      <c r="F23">
        <v>12</v>
      </c>
      <c r="G23">
        <v>27</v>
      </c>
      <c r="H23" t="b">
        <v>1</v>
      </c>
      <c r="I23" t="b">
        <v>0</v>
      </c>
      <c r="J23" t="s">
        <v>18</v>
      </c>
      <c r="K23" t="s">
        <v>177</v>
      </c>
      <c r="L23" t="s">
        <v>125</v>
      </c>
      <c r="M23" t="s">
        <v>155</v>
      </c>
      <c r="N23" s="6" t="s">
        <v>67</v>
      </c>
      <c r="O23">
        <v>2</v>
      </c>
      <c r="P23" t="str">
        <f>_xlfn.XLOOKUP(Infill[[#This Row],[XY-N]],Rating[N],Rating[Name])</f>
        <v>Low</v>
      </c>
      <c r="Q23">
        <v>2</v>
      </c>
      <c r="R23" t="str">
        <f>_xlfn.XLOOKUP(Infill[[#This Row],[Z-N]],Rating[N],Rating[Name])</f>
        <v>Low</v>
      </c>
      <c r="S23" s="2" t="s">
        <v>83</v>
      </c>
      <c r="T23">
        <v>1</v>
      </c>
      <c r="U23">
        <v>16</v>
      </c>
      <c r="V23">
        <v>12.33</v>
      </c>
      <c r="W23" s="2">
        <f>Infill[[#This Row],[g]]/(997.25*0.15)</f>
        <v>8.2426673351717217E-2</v>
      </c>
      <c r="X23" s="2" t="str">
        <f>_xlfn.XLOOKUP(Infill[[#This Row],[% Effective]],Rating[Max %],Rating[Name],,1)</f>
        <v>Ultra-Low</v>
      </c>
      <c r="Y23">
        <f>Infill[[#This Row],[hs]]*60+Infill[[#This Row],[min]]</f>
        <v>76</v>
      </c>
      <c r="Z23" s="2">
        <f>Infill[[#This Row],[Total Time]]/AVERAGEIFS(Infill[Total Time],Infill[Material Usage],"Normal")</f>
        <v>0.1432397579605198</v>
      </c>
      <c r="AA23" s="2" t="str">
        <f>_xlfn.XLOOKUP(Infill[[#This Row],[t prom]],Rating[Max %],Rating[Name],,1)</f>
        <v>Ultra-Low</v>
      </c>
      <c r="AB23" s="3">
        <f>Infill[[#This Row],[g]]/Infill[[#This Row],[Total Time]]</f>
        <v>0.16223684210526315</v>
      </c>
      <c r="AC23" s="2">
        <f>Infill[[#This Row],[g/t]]/AVERAGEIFS(Infill[g/t],Infill[Material Usage],"Normal")</f>
        <v>0.56316398027570336</v>
      </c>
      <c r="AD23" t="str">
        <f>_xlfn.XLOOKUP(Infill[[#This Row],[g/t prom]],Rating[Max %],Rating[Name],,1)</f>
        <v>Low</v>
      </c>
      <c r="AE23" s="2" t="str">
        <f>SUBSTITUTE(LOWER(Infill[[#This Row],[name]])," ","-")</f>
        <v>lightning</v>
      </c>
      <c r="AF23" t="s">
        <v>202</v>
      </c>
      <c r="AG23" t="str">
        <f>"!["&amp;Infill[[#This Row],[SVG]]&amp;"](https://github.com/SoftFever/OrcaSlicer/blob/main/resources/images/"&amp;Infill[[#This Row],[SVG]]&amp;".svg?raw=true)"</f>
        <v>![param_lightning](https://github.com/SoftFever/OrcaSlicer/blob/main/resources/images/param_lightning.svg?raw=true)</v>
      </c>
      <c r="AH23" s="2" t="str">
        <f>"["&amp;Infill[[#This Row],[name]]&amp;"](#"&amp;Infill[[#This Row],[image]]&amp;")"</f>
        <v>[Lightning](#lightning)</v>
      </c>
      <c r="AI23"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Lightning
Ultra-fast, ultra-low material infill. Designed for speed and efficiency, ideal for quick prints or non-structural prototypes.
- **Horizontal Strength (X-Y):** Low
- **Vertical Strength (Z):** Low
- **Density Calculation:** % of layer before top shell layers
- **Material Usage:** Ultra-Low
- **Print Time:** Ultra-Low
- **Material/Time (Higher better):** Low
![infill-top-lightning](https://github.com/SoftFever/OrcaSlicer/blob/main/doc/images/fill/infill-top-lightning.png?raw=true)
</v>
      </c>
      <c r="AJ23" t="str">
        <f>IF(OR(Infill[[#This Row],[Is Infill]],Infill[[#This Row],[Is Surface]])," { """&amp;Infill[[#This Row],[infill]]&amp;""", "&amp;Infill[[#This Row],[ip]]&amp;" },","")</f>
        <v xml:space="preserve"> { "lightning", ipLightning },</v>
      </c>
      <c r="AK23" t="str">
        <f>IF(OR(Infill[[#This Row],[Is Infill]],Infill[[#This Row],[Is Surface]]),"def-&gt;enum_values.push_back("""&amp;Infill[[#This Row],[infill]]&amp;""");","")</f>
        <v>def-&gt;enum_values.push_back("lightning");</v>
      </c>
      <c r="AL23" t="str">
        <f>IF(OR(Infill[[#This Row],[Is Infill]],Infill[[#This Row],[Is Surface]]),"def-&gt;enum_labels.push_back(L("""&amp;Infill[[#This Row],[name]]&amp;"""));","")</f>
        <v>def-&gt;enum_labels.push_back(L("Lightning"));</v>
      </c>
    </row>
    <row r="24" spans="1:38" ht="105" x14ac:dyDescent="0.25">
      <c r="E24">
        <v>23</v>
      </c>
      <c r="F24">
        <v>10.1</v>
      </c>
      <c r="G24">
        <v>3</v>
      </c>
      <c r="H24" t="b">
        <v>1</v>
      </c>
      <c r="I24" t="b">
        <v>0</v>
      </c>
      <c r="J24" t="s">
        <v>19</v>
      </c>
      <c r="K24" t="s">
        <v>175</v>
      </c>
      <c r="L24" t="s">
        <v>126</v>
      </c>
      <c r="M24" t="s">
        <v>156</v>
      </c>
      <c r="N24" s="6" t="s">
        <v>97</v>
      </c>
      <c r="O24">
        <v>5</v>
      </c>
      <c r="P24" t="str">
        <f>_xlfn.XLOOKUP(Infill[[#This Row],[XY-N]],Rating[N],Rating[Name])</f>
        <v>Normal-High</v>
      </c>
      <c r="Q24">
        <v>5</v>
      </c>
      <c r="R24" t="str">
        <f>_xlfn.XLOOKUP(Infill[[#This Row],[Z-N]],Rating[N],Rating[Name])</f>
        <v>Normal-High</v>
      </c>
      <c r="S24" s="2" t="s">
        <v>81</v>
      </c>
      <c r="T24">
        <v>10</v>
      </c>
      <c r="U24">
        <v>40</v>
      </c>
      <c r="V24">
        <v>144.69999999999999</v>
      </c>
      <c r="W24" s="2">
        <f>Infill[[#This Row],[g]]/(997.25*0.15)</f>
        <v>0.96732681540904142</v>
      </c>
      <c r="X24" s="2" t="str">
        <f>_xlfn.XLOOKUP(Infill[[#This Row],[% Effective]],Rating[Max %],Rating[Name],,1)</f>
        <v>Normal</v>
      </c>
      <c r="Y24">
        <f>Infill[[#This Row],[hs]]*60+Infill[[#This Row],[min]]</f>
        <v>640</v>
      </c>
      <c r="Z24" s="2">
        <f>Infill[[#This Row],[Total Time]]/AVERAGEIFS(Infill[Total Time],Infill[Material Usage],"Normal")</f>
        <v>1.2062295407201666</v>
      </c>
      <c r="AA24" s="2" t="str">
        <f>_xlfn.XLOOKUP(Infill[[#This Row],[t prom]],Rating[Max %],Rating[Name],,1)</f>
        <v>Normal-High</v>
      </c>
      <c r="AB24" s="3">
        <f>Infill[[#This Row],[g]]/Infill[[#This Row],[Total Time]]</f>
        <v>0.22609374999999998</v>
      </c>
      <c r="AC24" s="2">
        <f>Infill[[#This Row],[g/t]]/AVERAGEIFS(Infill[g/t],Infill[Material Usage],"Normal")</f>
        <v>0.78482701286090395</v>
      </c>
      <c r="AD24" t="str">
        <f>_xlfn.XLOOKUP(Infill[[#This Row],[g/t prom]],Rating[Max %],Rating[Name],,1)</f>
        <v>Normal-Low</v>
      </c>
      <c r="AE24" s="2" t="str">
        <f>SUBSTITUTE(LOWER(Infill[[#This Row],[name]])," ","-")</f>
        <v>cross-hatch</v>
      </c>
      <c r="AF24" t="s">
        <v>203</v>
      </c>
      <c r="AG24" t="str">
        <f>"!["&amp;Infill[[#This Row],[SVG]]&amp;"](https://github.com/SoftFever/OrcaSlicer/blob/main/resources/images/"&amp;Infill[[#This Row],[SVG]]&amp;".svg?raw=true)"</f>
        <v>![param_crosshatch](https://github.com/SoftFever/OrcaSlicer/blob/main/resources/images/param_crosshatch.svg?raw=true)</v>
      </c>
      <c r="AH24" s="2" t="str">
        <f>"["&amp;Infill[[#This Row],[name]]&amp;"](#"&amp;Infill[[#This Row],[image]]&amp;")"</f>
        <v>[Cross Hatch](#cross-hatch)</v>
      </c>
      <c r="AI24"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Cross Hatch
Similar to [Gyroid](#gyroid) but with linear patterns, creating weak points at internal corners.
Easier to slice but consider using [TPMS-D](#tpms-d) or [Gyroid](#gyroid) for better strength and flexibility.
- **Horizontal Strength (X-Y):** Normal-High
- **Vertical Strength (Z):** Normal-High
- **Density Calculation:**  % of  total infill volume
- **Material Usage:** Normal
- **Print Time:** Normal-High
- **Material/Time (Higher better):** Normal-Low
![infill-top-cross-hatch](https://github.com/SoftFever/OrcaSlicer/blob/main/doc/images/fill/infill-top-cross-hatch.png?raw=true)
</v>
      </c>
      <c r="AJ24" t="str">
        <f>IF(OR(Infill[[#This Row],[Is Infill]],Infill[[#This Row],[Is Surface]])," { """&amp;Infill[[#This Row],[infill]]&amp;""", "&amp;Infill[[#This Row],[ip]]&amp;" },","")</f>
        <v xml:space="preserve"> { "crosshatch", ipCrossHatch },</v>
      </c>
      <c r="AK24" t="str">
        <f>IF(OR(Infill[[#This Row],[Is Infill]],Infill[[#This Row],[Is Surface]]),"def-&gt;enum_values.push_back("""&amp;Infill[[#This Row],[infill]]&amp;""");","")</f>
        <v>def-&gt;enum_values.push_back("crosshatch");</v>
      </c>
      <c r="AL24" t="str">
        <f>IF(OR(Infill[[#This Row],[Is Infill]],Infill[[#This Row],[Is Surface]]),"def-&gt;enum_labels.push_back(L("""&amp;Infill[[#This Row],[name]]&amp;"""));","")</f>
        <v>def-&gt;enum_labels.push_back(L("Cross Hatch"));</v>
      </c>
    </row>
    <row r="25" spans="1:38" ht="45" x14ac:dyDescent="0.25">
      <c r="E25">
        <v>24</v>
      </c>
      <c r="F25">
        <v>8.1999999999999993</v>
      </c>
      <c r="G25">
        <v>6</v>
      </c>
      <c r="H25" t="b">
        <v>1</v>
      </c>
      <c r="I25" t="b">
        <v>0</v>
      </c>
      <c r="J25" t="s">
        <v>43</v>
      </c>
      <c r="K25" t="s">
        <v>5</v>
      </c>
      <c r="L25" t="s">
        <v>127</v>
      </c>
      <c r="M25" t="s">
        <v>157</v>
      </c>
      <c r="N25" s="6" t="s">
        <v>68</v>
      </c>
      <c r="O25">
        <v>6</v>
      </c>
      <c r="P25" t="str">
        <f>_xlfn.XLOOKUP(Infill[[#This Row],[XY-N]],Rating[N],Rating[Name])</f>
        <v>High</v>
      </c>
      <c r="Q25">
        <v>6</v>
      </c>
      <c r="R25" t="str">
        <f>_xlfn.XLOOKUP(Infill[[#This Row],[Z-N]],Rating[N],Rating[Name])</f>
        <v>High</v>
      </c>
      <c r="S25" s="2" t="s">
        <v>81</v>
      </c>
      <c r="T25">
        <v>8</v>
      </c>
      <c r="U25">
        <v>1</v>
      </c>
      <c r="V25">
        <v>148.55000000000001</v>
      </c>
      <c r="W25" s="2">
        <f>Infill[[#This Row],[g]]/(997.25*0.15)</f>
        <v>0.99306426004846671</v>
      </c>
      <c r="X25" s="2" t="str">
        <f>_xlfn.XLOOKUP(Infill[[#This Row],[% Effective]],Rating[Max %],Rating[Name],,1)</f>
        <v>Normal</v>
      </c>
      <c r="Y25">
        <f>Infill[[#This Row],[hs]]*60+Infill[[#This Row],[min]]</f>
        <v>481</v>
      </c>
      <c r="Z25" s="2">
        <f>Infill[[#This Row],[Total Time]]/AVERAGEIFS(Infill[Total Time],Infill[Material Usage],"Normal")</f>
        <v>0.90655688919750022</v>
      </c>
      <c r="AA25" s="2" t="str">
        <f>_xlfn.XLOOKUP(Infill[[#This Row],[t prom]],Rating[Max %],Rating[Name],,1)</f>
        <v>Normal-Low</v>
      </c>
      <c r="AB25" s="3">
        <f>Infill[[#This Row],[g]]/Infill[[#This Row],[Total Time]]</f>
        <v>0.30883575883575887</v>
      </c>
      <c r="AC25" s="2">
        <f>Infill[[#This Row],[g/t]]/AVERAGEIFS(Infill[g/t],Infill[Material Usage],"Normal")</f>
        <v>1.0720448755071696</v>
      </c>
      <c r="AD25" t="str">
        <f>_xlfn.XLOOKUP(Infill[[#This Row],[g/t prom]],Rating[Max %],Rating[Name],,1)</f>
        <v>Normal</v>
      </c>
      <c r="AE25" s="2" t="str">
        <f>SUBSTITUTE(LOWER(Infill[[#This Row],[name]])," ","-")</f>
        <v>quarter-cubic</v>
      </c>
      <c r="AF25" t="s">
        <v>204</v>
      </c>
      <c r="AG25" t="str">
        <f>"!["&amp;Infill[[#This Row],[SVG]]&amp;"](https://github.com/SoftFever/OrcaSlicer/blob/main/resources/images/"&amp;Infill[[#This Row],[SVG]]&amp;".svg?raw=true)"</f>
        <v>![param_quartercubic](https://github.com/SoftFever/OrcaSlicer/blob/main/resources/images/param_quartercubic.svg?raw=true)</v>
      </c>
      <c r="AH25" s="2" t="str">
        <f>"["&amp;Infill[[#This Row],[name]]&amp;"](#"&amp;Infill[[#This Row],[image]]&amp;")"</f>
        <v>[Quarter Cubic](#quarter-cubic)</v>
      </c>
      <c r="AI25"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Quarter Cubic
[Cubic](#cubic) pattern with extra internal divisions, improving X-Y strength.
- **Horizontal Strength (X-Y):** High
- **Vertical Strength (Z):** High
- **Density Calculation:**  % of  total infill volume
- **Material Usage:** Normal
- **Print Time:** Normal-Low
- **Material/Time (Higher better):** Normal
![infill-top-quarter-cubic](https://github.com/SoftFever/OrcaSlicer/blob/main/doc/images/fill/infill-top-quarter-cubic.png?raw=true)
</v>
      </c>
      <c r="AJ25" t="str">
        <f>IF(OR(Infill[[#This Row],[Is Infill]],Infill[[#This Row],[Is Surface]])," { """&amp;Infill[[#This Row],[infill]]&amp;""", "&amp;Infill[[#This Row],[ip]]&amp;" },","")</f>
        <v xml:space="preserve"> { "quartercubic", ipQuarterCubic },</v>
      </c>
      <c r="AK25" t="str">
        <f>IF(OR(Infill[[#This Row],[Is Infill]],Infill[[#This Row],[Is Surface]]),"def-&gt;enum_values.push_back("""&amp;Infill[[#This Row],[infill]]&amp;""");","")</f>
        <v>def-&gt;enum_values.push_back("quartercubic");</v>
      </c>
      <c r="AL25" t="str">
        <f>IF(OR(Infill[[#This Row],[Is Infill]],Infill[[#This Row],[Is Surface]]),"def-&gt;enum_labels.push_back(L("""&amp;Infill[[#This Row],[name]]&amp;"""));","")</f>
        <v>def-&gt;enum_labels.push_back(L("Quarter Cubic"));</v>
      </c>
    </row>
    <row r="26" spans="1:38" ht="105" x14ac:dyDescent="0.25">
      <c r="E26">
        <v>25</v>
      </c>
      <c r="F26">
        <v>2.1</v>
      </c>
      <c r="G26">
        <v>12</v>
      </c>
      <c r="H26" t="b">
        <v>1</v>
      </c>
      <c r="I26" t="b">
        <v>0</v>
      </c>
      <c r="J26" t="s">
        <v>86</v>
      </c>
      <c r="K26" t="s">
        <v>1</v>
      </c>
      <c r="L26" t="s">
        <v>128</v>
      </c>
      <c r="M26" t="s">
        <v>158</v>
      </c>
      <c r="N26" s="8" t="s">
        <v>98</v>
      </c>
      <c r="O26">
        <v>3</v>
      </c>
      <c r="P26" t="str">
        <f>_xlfn.XLOOKUP(Infill[[#This Row],[XY-N]],Rating[N],Rating[Name])</f>
        <v>Normal-Low</v>
      </c>
      <c r="Q26">
        <v>2</v>
      </c>
      <c r="R26" t="str">
        <f>_xlfn.XLOOKUP(Infill[[#This Row],[Z-N]],Rating[N],Rating[Name])</f>
        <v>Low</v>
      </c>
      <c r="S26" s="2" t="s">
        <v>81</v>
      </c>
      <c r="T26">
        <v>8</v>
      </c>
      <c r="U26">
        <v>16</v>
      </c>
      <c r="V26">
        <v>149.94</v>
      </c>
      <c r="W26" s="2">
        <f>Infill[[#This Row],[g]]/(997.25*0.15)</f>
        <v>1.0023564803208824</v>
      </c>
      <c r="X26" s="2" t="str">
        <f>_xlfn.XLOOKUP(Infill[[#This Row],[% Effective]],Rating[Max %],Rating[Name],,1)</f>
        <v>Normal</v>
      </c>
      <c r="Y26">
        <f>Infill[[#This Row],[hs]]*60+Infill[[#This Row],[min]]</f>
        <v>496</v>
      </c>
      <c r="Z26" s="2">
        <f>Infill[[#This Row],[Total Time]]/AVERAGEIFS(Infill[Total Time],Infill[Material Usage],"Normal")</f>
        <v>0.93482789405812916</v>
      </c>
      <c r="AA26" s="2" t="str">
        <f>_xlfn.XLOOKUP(Infill[[#This Row],[t prom]],Rating[Max %],Rating[Name],,1)</f>
        <v>Normal</v>
      </c>
      <c r="AB26" s="3">
        <f>Infill[[#This Row],[g]]/Infill[[#This Row],[Total Time]]</f>
        <v>0.3022983870967742</v>
      </c>
      <c r="AC26" s="2">
        <f>Infill[[#This Row],[g/t]]/AVERAGEIFS(Infill[g/t],Infill[Material Usage],"Normal")</f>
        <v>1.0493520503677369</v>
      </c>
      <c r="AD26" t="str">
        <f>_xlfn.XLOOKUP(Infill[[#This Row],[g/t prom]],Rating[Max %],Rating[Name],,1)</f>
        <v>Normal</v>
      </c>
      <c r="AE26" s="2" t="str">
        <f>SUBSTITUTE(LOWER(Infill[[#This Row],[name]])," ","-")</f>
        <v>zig-zag</v>
      </c>
      <c r="AF26" t="s">
        <v>205</v>
      </c>
      <c r="AG26" t="str">
        <f>"!["&amp;Infill[[#This Row],[SVG]]&amp;"](https://github.com/SoftFever/OrcaSlicer/blob/main/resources/images/"&amp;Infill[[#This Row],[SVG]]&amp;".svg?raw=true)"</f>
        <v>![param_zigzag](https://github.com/SoftFever/OrcaSlicer/blob/main/resources/images/param_zigzag.svg?raw=true)</v>
      </c>
      <c r="AH26" s="2" t="str">
        <f>"["&amp;Infill[[#This Row],[name]]&amp;"](#"&amp;Infill[[#This Row],[image]]&amp;")"</f>
        <v>[Zig Zag](#zig-zag)</v>
      </c>
      <c r="AI26"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Zig Zag
Similar to [rectilinear](#rectilinear) with consistent pattern between layers. Allows you to add a Symmetric infill Y axis for models with two symmetric parts.
- **Horizontal Strength (X-Y):** Normal-Low
- **Vertical Strength (Z):** Low
- **Density Calculation:**  % of  total infill volume
- **Material Usage:** Normal
- **Print Time:** Normal
- **Material/Time (Higher better):** Normal
![infill-top-zig-zag](https://github.com/SoftFever/OrcaSlicer/blob/main/doc/images/fill/infill-top-zig-zag.png?raw=true)
</v>
      </c>
      <c r="AJ26" t="str">
        <f>IF(OR(Infill[[#This Row],[Is Infill]],Infill[[#This Row],[Is Surface]])," { """&amp;Infill[[#This Row],[infill]]&amp;""", "&amp;Infill[[#This Row],[ip]]&amp;" },","")</f>
        <v xml:space="preserve"> { "zigzag", ipZigZag },</v>
      </c>
      <c r="AK26" t="str">
        <f>IF(OR(Infill[[#This Row],[Is Infill]],Infill[[#This Row],[Is Surface]]),"def-&gt;enum_values.push_back("""&amp;Infill[[#This Row],[infill]]&amp;""");","")</f>
        <v>def-&gt;enum_values.push_back("zigzag");</v>
      </c>
      <c r="AL26" t="str">
        <f>IF(OR(Infill[[#This Row],[Is Infill]],Infill[[#This Row],[Is Surface]]),"def-&gt;enum_labels.push_back(L("""&amp;Infill[[#This Row],[name]]&amp;"""));","")</f>
        <v>def-&gt;enum_labels.push_back(L("Zig Zag"));</v>
      </c>
    </row>
    <row r="27" spans="1:38" ht="45" x14ac:dyDescent="0.25">
      <c r="E27">
        <v>26</v>
      </c>
      <c r="F27">
        <v>2.2000000000000002</v>
      </c>
      <c r="G27">
        <v>13</v>
      </c>
      <c r="H27" t="b">
        <v>1</v>
      </c>
      <c r="I27" t="b">
        <v>0</v>
      </c>
      <c r="J27" t="s">
        <v>91</v>
      </c>
      <c r="K27" t="s">
        <v>1</v>
      </c>
      <c r="L27" t="s">
        <v>129</v>
      </c>
      <c r="M27" t="s">
        <v>159</v>
      </c>
      <c r="N27" s="8" t="s">
        <v>99</v>
      </c>
      <c r="O27">
        <v>4</v>
      </c>
      <c r="P27" t="str">
        <f>_xlfn.XLOOKUP(Infill[[#This Row],[XY-N]],Rating[N],Rating[Name])</f>
        <v>Normal</v>
      </c>
      <c r="Q27">
        <v>2</v>
      </c>
      <c r="R27" t="str">
        <f>_xlfn.XLOOKUP(Infill[[#This Row],[Z-N]],Rating[N],Rating[Name])</f>
        <v>Low</v>
      </c>
      <c r="S27" s="2" t="s">
        <v>81</v>
      </c>
      <c r="T27">
        <v>8</v>
      </c>
      <c r="U27">
        <v>14</v>
      </c>
      <c r="V27">
        <v>149.84</v>
      </c>
      <c r="W27" s="2">
        <f>Infill[[#This Row],[g]]/(997.25*0.15)</f>
        <v>1.0016879752653129</v>
      </c>
      <c r="X27" s="2" t="str">
        <f>_xlfn.XLOOKUP(Infill[[#This Row],[% Effective]],Rating[Max %],Rating[Name],,1)</f>
        <v>Normal</v>
      </c>
      <c r="Y27">
        <f>Infill[[#This Row],[hs]]*60+Infill[[#This Row],[min]]</f>
        <v>494</v>
      </c>
      <c r="Z27" s="2">
        <f>Infill[[#This Row],[Total Time]]/AVERAGEIFS(Infill[Total Time],Infill[Material Usage],"Normal")</f>
        <v>0.93105842674337869</v>
      </c>
      <c r="AA27" s="2" t="str">
        <f>_xlfn.XLOOKUP(Infill[[#This Row],[t prom]],Rating[Max %],Rating[Name],,1)</f>
        <v>Normal</v>
      </c>
      <c r="AB27" s="3">
        <f>Infill[[#This Row],[g]]/Infill[[#This Row],[Total Time]]</f>
        <v>0.30331983805668017</v>
      </c>
      <c r="AC27" s="2">
        <f>Infill[[#This Row],[g/t]]/AVERAGEIFS(Infill[g/t],Infill[Material Usage],"Normal")</f>
        <v>1.0528977578702527</v>
      </c>
      <c r="AD27" t="str">
        <f>_xlfn.XLOOKUP(Infill[[#This Row],[g/t prom]],Rating[Max %],Rating[Name],,1)</f>
        <v>Normal</v>
      </c>
      <c r="AE27" s="2" t="str">
        <f>SUBSTITUTE(LOWER(Infill[[#This Row],[name]])," ","-")</f>
        <v>cross-zag</v>
      </c>
      <c r="AF27" t="s">
        <v>208</v>
      </c>
      <c r="AG27" t="str">
        <f>"!["&amp;Infill[[#This Row],[SVG]]&amp;"](https://github.com/SoftFever/OrcaSlicer/blob/main/resources/images/"&amp;Infill[[#This Row],[SVG]]&amp;".svg?raw=true)"</f>
        <v>![param_crosszag](https://github.com/SoftFever/OrcaSlicer/blob/main/resources/images/param_crosszag.svg?raw=true)</v>
      </c>
      <c r="AH27" s="2" t="str">
        <f>"["&amp;Infill[[#This Row],[name]]&amp;"](#"&amp;Infill[[#This Row],[image]]&amp;")"</f>
        <v>[Cross Zag](#cross-zag)</v>
      </c>
      <c r="AI27"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Cross Zag
Similar to [Zig Zag](#zig-zag) but displacing each layer with Infill shift step parameter.
- **Horizontal Strength (X-Y):** Normal
- **Vertical Strength (Z):** Low
- **Density Calculation:**  % of  total infill volume
- **Material Usage:** Normal
- **Print Time:** Normal
- **Material/Time (Higher better):** Normal
![infill-top-cross-zag](https://github.com/SoftFever/OrcaSlicer/blob/main/doc/images/fill/infill-top-cross-zag.png?raw=true)
</v>
      </c>
      <c r="AJ27" t="str">
        <f>IF(OR(Infill[[#This Row],[Is Infill]],Infill[[#This Row],[Is Surface]])," { """&amp;Infill[[#This Row],[infill]]&amp;""", "&amp;Infill[[#This Row],[ip]]&amp;" },","")</f>
        <v xml:space="preserve"> { "crosszag", ipCrossZag },</v>
      </c>
      <c r="AK27" t="str">
        <f>IF(OR(Infill[[#This Row],[Is Infill]],Infill[[#This Row],[Is Surface]]),"def-&gt;enum_values.push_back("""&amp;Infill[[#This Row],[infill]]&amp;""");","")</f>
        <v>def-&gt;enum_values.push_back("crosszag");</v>
      </c>
      <c r="AL27" t="str">
        <f>IF(OR(Infill[[#This Row],[Is Infill]],Infill[[#This Row],[Is Surface]]),"def-&gt;enum_labels.push_back(L("""&amp;Infill[[#This Row],[name]]&amp;"""));","")</f>
        <v>def-&gt;enum_labels.push_back(L("Cross Zag"));</v>
      </c>
    </row>
    <row r="28" spans="1:38" ht="75" x14ac:dyDescent="0.25">
      <c r="E28">
        <v>27</v>
      </c>
      <c r="F28">
        <v>2.2999999999999998</v>
      </c>
      <c r="G28">
        <v>14</v>
      </c>
      <c r="H28" t="b">
        <v>1</v>
      </c>
      <c r="I28" t="b">
        <v>0</v>
      </c>
      <c r="J28" t="s">
        <v>87</v>
      </c>
      <c r="K28" t="s">
        <v>1</v>
      </c>
      <c r="L28" t="s">
        <v>130</v>
      </c>
      <c r="M28" t="s">
        <v>160</v>
      </c>
      <c r="N28" s="8" t="s">
        <v>100</v>
      </c>
      <c r="O28">
        <v>3</v>
      </c>
      <c r="P28" t="str">
        <f>_xlfn.XLOOKUP(Infill[[#This Row],[XY-N]],Rating[N],Rating[Name])</f>
        <v>Normal-Low</v>
      </c>
      <c r="Q28">
        <v>3</v>
      </c>
      <c r="R28" t="str">
        <f>_xlfn.XLOOKUP(Infill[[#This Row],[Z-N]],Rating[N],Rating[Name])</f>
        <v>Normal-Low</v>
      </c>
      <c r="S28" s="2" t="s">
        <v>88</v>
      </c>
      <c r="T28">
        <v>15</v>
      </c>
      <c r="U28">
        <v>46</v>
      </c>
      <c r="V28">
        <v>182.32</v>
      </c>
      <c r="W28" s="2">
        <f>Infill[[#This Row],[g]]/(997.25*0.15)</f>
        <v>1.2188184173142809</v>
      </c>
      <c r="X28" s="2" t="str">
        <f>_xlfn.XLOOKUP(Infill[[#This Row],[% Effective]],Rating[Max %],Rating[Name],,1)</f>
        <v>Normal-High</v>
      </c>
      <c r="Y28">
        <f>Infill[[#This Row],[hs]]*60+Infill[[#This Row],[min]]</f>
        <v>946</v>
      </c>
      <c r="Z28" s="2">
        <f>Infill[[#This Row],[Total Time]]/AVERAGEIFS(Infill[Total Time],Infill[Material Usage],"Normal")</f>
        <v>1.7829580398769964</v>
      </c>
      <c r="AA28" s="2" t="str">
        <f>_xlfn.XLOOKUP(Infill[[#This Row],[t prom]],Rating[Max %],Rating[Name],,1)</f>
        <v>Extra-High</v>
      </c>
      <c r="AB28" s="3">
        <f>Infill[[#This Row],[g]]/Infill[[#This Row],[Total Time]]</f>
        <v>0.19272727272727272</v>
      </c>
      <c r="AC28" s="2">
        <f>Infill[[#This Row],[g/t]]/AVERAGEIFS(Infill[g/t],Infill[Material Usage],"Normal")</f>
        <v>0.6690037639314409</v>
      </c>
      <c r="AD28" t="str">
        <f>_xlfn.XLOOKUP(Infill[[#This Row],[g/t prom]],Rating[Max %],Rating[Name],,1)</f>
        <v>Low</v>
      </c>
      <c r="AE28" s="2" t="str">
        <f>SUBSTITUTE(LOWER(Infill[[#This Row],[name]])," ","-")</f>
        <v>locked-zag</v>
      </c>
      <c r="AF28" t="s">
        <v>206</v>
      </c>
      <c r="AG28" t="str">
        <f>"!["&amp;Infill[[#This Row],[SVG]]&amp;"](https://github.com/SoftFever/OrcaSlicer/blob/main/resources/images/"&amp;Infill[[#This Row],[SVG]]&amp;".svg?raw=true)"</f>
        <v>![param_lockedzag](https://github.com/SoftFever/OrcaSlicer/blob/main/resources/images/param_lockedzag.svg?raw=true)</v>
      </c>
      <c r="AH28" s="2" t="str">
        <f>"["&amp;Infill[[#This Row],[name]]&amp;"](#"&amp;Infill[[#This Row],[image]]&amp;")"</f>
        <v>[Locked Zag](#locked-zag)</v>
      </c>
      <c r="AI28"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Locked Zag
Adaptive version of [Zig Zag](#zig-zag) adding an external skin texture to interlock layers and a low material skeleton.
- **Horizontal Strength (X-Y):** Normal-Low
- **Vertical Strength (Z):** Normal-Low
- **Density Calculation:** Same as [Zig Zag](#zig-zag) but increasing near walls
- **Material Usage:** Normal-High
- **Print Time:** Extra-High
- **Material/Time (Higher better):** Low
![infill-top-locked-zag](https://github.com/SoftFever/OrcaSlicer/blob/main/doc/images/fill/infill-top-locked-zag.png?raw=true)
</v>
      </c>
      <c r="AJ28" t="str">
        <f>IF(OR(Infill[[#This Row],[Is Infill]],Infill[[#This Row],[Is Surface]])," { """&amp;Infill[[#This Row],[infill]]&amp;""", "&amp;Infill[[#This Row],[ip]]&amp;" },","")</f>
        <v xml:space="preserve"> { "lockedzag", ipLockedZag },</v>
      </c>
      <c r="AK28" t="str">
        <f>IF(OR(Infill[[#This Row],[Is Infill]],Infill[[#This Row],[Is Surface]]),"def-&gt;enum_values.push_back("""&amp;Infill[[#This Row],[infill]]&amp;""");","")</f>
        <v>def-&gt;enum_values.push_back("lockedzag");</v>
      </c>
      <c r="AL28" t="str">
        <f>IF(OR(Infill[[#This Row],[Is Infill]],Infill[[#This Row],[Is Surface]]),"def-&gt;enum_labels.push_back(L("""&amp;Infill[[#This Row],[name]]&amp;"""));","")</f>
        <v>def-&gt;enum_labels.push_back(L("Locked Zag"));</v>
      </c>
    </row>
    <row r="29" spans="1:38" hidden="1" x14ac:dyDescent="0.25">
      <c r="E29">
        <v>28</v>
      </c>
      <c r="F29">
        <v>90</v>
      </c>
      <c r="G29">
        <v>28</v>
      </c>
      <c r="H29" t="b">
        <v>0</v>
      </c>
      <c r="I29" t="b">
        <v>0</v>
      </c>
      <c r="L29" t="s">
        <v>123</v>
      </c>
      <c r="N29" s="8"/>
      <c r="P29" t="e">
        <f>_xlfn.XLOOKUP(Infill[[#This Row],[XY-N]],Rating[N],Rating[Name])</f>
        <v>#N/A</v>
      </c>
      <c r="R29" t="e">
        <f>_xlfn.XLOOKUP(Infill[[#This Row],[Z-N]],Rating[N],Rating[Name])</f>
        <v>#N/A</v>
      </c>
      <c r="S29" s="2"/>
      <c r="W29" s="2">
        <f>Infill[[#This Row],[g]]/(997.25*0.15)</f>
        <v>0</v>
      </c>
      <c r="X29" s="2" t="str">
        <f>_xlfn.XLOOKUP(Infill[[#This Row],[% Effective]],Rating[Max %],Rating[Name],,1)</f>
        <v>Ultra-Low</v>
      </c>
      <c r="Y29">
        <f>Infill[[#This Row],[hs]]*60+Infill[[#This Row],[min]]</f>
        <v>0</v>
      </c>
      <c r="Z29" s="2">
        <f>Infill[[#This Row],[Total Time]]/AVERAGEIFS(Infill[Total Time],Infill[Material Usage],"Normal")</f>
        <v>0</v>
      </c>
      <c r="AA29" s="2" t="str">
        <f>_xlfn.XLOOKUP(Infill[[#This Row],[t prom]],Rating[Max %],Rating[Name],,1)</f>
        <v>Ultra-Low</v>
      </c>
      <c r="AB29" s="3" t="e">
        <f>Infill[[#This Row],[g]]/Infill[[#This Row],[Total Time]]</f>
        <v>#DIV/0!</v>
      </c>
      <c r="AC29" s="2" t="e">
        <f>Infill[[#This Row],[g/t]]/AVERAGEIFS(Infill[g/t],Infill[Material Usage],"Normal")</f>
        <v>#DIV/0!</v>
      </c>
      <c r="AD29" s="2" t="e">
        <f>_xlfn.XLOOKUP(Infill[[#This Row],[g/t prom]],Rating[Max %],Rating[Name],,1)</f>
        <v>#DIV/0!</v>
      </c>
      <c r="AE29" s="2" t="str">
        <f>SUBSTITUTE(LOWER(Infill[[#This Row],[name]])," ","-")</f>
        <v/>
      </c>
      <c r="AG29" t="str">
        <f>"!["&amp;Infill[[#This Row],[SVG]]&amp;"](https://github.com/SoftFever/OrcaSlicer/blob/main/resources/images/"&amp;Infill[[#This Row],[SVG]]&amp;".svg?raw=true)"</f>
        <v>![](https://github.com/SoftFever/OrcaSlicer/blob/main/resources/images/.svg?raw=true)</v>
      </c>
      <c r="AH29" s="2" t="str">
        <f>"["&amp;Infill[[#This Row],[name]]&amp;"](#"&amp;Infill[[#This Row],[image]]&amp;")"</f>
        <v>[](#)</v>
      </c>
      <c r="AI29"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c>
      <c r="AJ29" t="str">
        <f>IF(OR(Infill[[#This Row],[Is Infill]],Infill[[#This Row],[Is Surface]])," { """&amp;Infill[[#This Row],[infill]]&amp;""", "&amp;Infill[[#This Row],[ip]]&amp;" },","")</f>
        <v/>
      </c>
      <c r="AK29" t="str">
        <f>IF(OR(Infill[[#This Row],[Is Infill]],Infill[[#This Row],[Is Surface]]),"def-&gt;enum_values.push_back("""&amp;Infill[[#This Row],[infill]]&amp;""");","")</f>
        <v/>
      </c>
      <c r="AL29" t="str">
        <f>IF(OR(Infill[[#This Row],[Is Infill]],Infill[[#This Row],[Is Surface]]),"def-&gt;enum_labels.push_back(L("""&amp;Infill[[#This Row],[name]]&amp;"""));","")</f>
        <v/>
      </c>
    </row>
    <row r="30" spans="1:38" hidden="1" x14ac:dyDescent="0.25">
      <c r="E30">
        <v>29</v>
      </c>
      <c r="F30">
        <v>91</v>
      </c>
      <c r="G30">
        <v>29</v>
      </c>
      <c r="H30" t="b">
        <v>0</v>
      </c>
      <c r="I30" t="b">
        <v>0</v>
      </c>
      <c r="L30" t="s">
        <v>124</v>
      </c>
      <c r="N30" s="8"/>
      <c r="P30" t="e">
        <f>_xlfn.XLOOKUP(Infill[[#This Row],[XY-N]],Rating[N],Rating[Name])</f>
        <v>#N/A</v>
      </c>
      <c r="R30" t="e">
        <f>_xlfn.XLOOKUP(Infill[[#This Row],[Z-N]],Rating[N],Rating[Name])</f>
        <v>#N/A</v>
      </c>
      <c r="S30" s="2"/>
      <c r="W30" s="2">
        <f>Infill[[#This Row],[g]]/(997.25*0.15)</f>
        <v>0</v>
      </c>
      <c r="X30" s="2" t="str">
        <f>_xlfn.XLOOKUP(Infill[[#This Row],[% Effective]],Rating[Max %],Rating[Name],,1)</f>
        <v>Ultra-Low</v>
      </c>
      <c r="Y30">
        <f>Infill[[#This Row],[hs]]*60+Infill[[#This Row],[min]]</f>
        <v>0</v>
      </c>
      <c r="Z30" s="2">
        <f>Infill[[#This Row],[Total Time]]/AVERAGEIFS(Infill[Total Time],Infill[Material Usage],"Normal")</f>
        <v>0</v>
      </c>
      <c r="AA30" s="2" t="str">
        <f>_xlfn.XLOOKUP(Infill[[#This Row],[t prom]],Rating[Max %],Rating[Name],,1)</f>
        <v>Ultra-Low</v>
      </c>
      <c r="AB30" s="3" t="e">
        <f>Infill[[#This Row],[g]]/Infill[[#This Row],[Total Time]]</f>
        <v>#DIV/0!</v>
      </c>
      <c r="AC30" s="2" t="e">
        <f>Infill[[#This Row],[g/t]]/AVERAGEIFS(Infill[g/t],Infill[Material Usage],"Normal")</f>
        <v>#DIV/0!</v>
      </c>
      <c r="AD30" s="2" t="e">
        <f>_xlfn.XLOOKUP(Infill[[#This Row],[g/t prom]],Rating[Max %],Rating[Name],,1)</f>
        <v>#DIV/0!</v>
      </c>
      <c r="AE30" s="2" t="str">
        <f>SUBSTITUTE(LOWER(Infill[[#This Row],[name]])," ","-")</f>
        <v/>
      </c>
      <c r="AG30" t="str">
        <f>"!["&amp;Infill[[#This Row],[SVG]]&amp;"](https://github.com/SoftFever/OrcaSlicer/blob/main/resources/images/"&amp;Infill[[#This Row],[SVG]]&amp;".svg?raw=true)"</f>
        <v>![](https://github.com/SoftFever/OrcaSlicer/blob/main/resources/images/.svg?raw=true)</v>
      </c>
      <c r="AH30" s="2" t="str">
        <f>"["&amp;Infill[[#This Row],[name]]&amp;"](#"&amp;Infill[[#This Row],[image]]&amp;")"</f>
        <v>[](#)</v>
      </c>
      <c r="AI30"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c>
      <c r="AJ30" t="str">
        <f>IF(OR(Infill[[#This Row],[Is Infill]],Infill[[#This Row],[Is Surface]])," { """&amp;Infill[[#This Row],[infill]]&amp;""", "&amp;Infill[[#This Row],[ip]]&amp;" },","")</f>
        <v/>
      </c>
      <c r="AK30" t="str">
        <f>IF(OR(Infill[[#This Row],[Is Infill]],Infill[[#This Row],[Is Surface]]),"def-&gt;enum_values.push_back("""&amp;Infill[[#This Row],[infill]]&amp;""");","")</f>
        <v/>
      </c>
      <c r="AL30" t="str">
        <f>IF(OR(Infill[[#This Row],[Is Infill]],Infill[[#This Row],[Is Surface]]),"def-&gt;enum_labels.push_back(L("""&amp;Infill[[#This Row],[name]]&amp;"""));","")</f>
        <v/>
      </c>
    </row>
    <row r="31" spans="1:38" hidden="1" x14ac:dyDescent="0.25">
      <c r="E31">
        <v>30</v>
      </c>
      <c r="F31">
        <v>92</v>
      </c>
      <c r="G31">
        <v>30</v>
      </c>
      <c r="H31" t="b">
        <v>0</v>
      </c>
      <c r="I31" t="b">
        <v>0</v>
      </c>
      <c r="L31" t="s">
        <v>131</v>
      </c>
      <c r="N31" s="8"/>
      <c r="P31" t="e">
        <f>_xlfn.XLOOKUP(Infill[[#This Row],[XY-N]],Rating[N],Rating[Name])</f>
        <v>#N/A</v>
      </c>
      <c r="R31" t="e">
        <f>_xlfn.XLOOKUP(Infill[[#This Row],[Z-N]],Rating[N],Rating[Name])</f>
        <v>#N/A</v>
      </c>
      <c r="S31" s="2"/>
      <c r="W31" s="2">
        <f>Infill[[#This Row],[g]]/(997.25*0.15)</f>
        <v>0</v>
      </c>
      <c r="X31" s="2" t="str">
        <f>_xlfn.XLOOKUP(Infill[[#This Row],[% Effective]],Rating[Max %],Rating[Name],,1)</f>
        <v>Ultra-Low</v>
      </c>
      <c r="Y31">
        <f>Infill[[#This Row],[hs]]*60+Infill[[#This Row],[min]]</f>
        <v>0</v>
      </c>
      <c r="Z31" s="2">
        <f>Infill[[#This Row],[Total Time]]/AVERAGEIFS(Infill[Total Time],Infill[Material Usage],"Normal")</f>
        <v>0</v>
      </c>
      <c r="AA31" s="2" t="str">
        <f>_xlfn.XLOOKUP(Infill[[#This Row],[t prom]],Rating[Max %],Rating[Name],,1)</f>
        <v>Ultra-Low</v>
      </c>
      <c r="AB31" s="3" t="e">
        <f>Infill[[#This Row],[g]]/Infill[[#This Row],[Total Time]]</f>
        <v>#DIV/0!</v>
      </c>
      <c r="AC31" s="2" t="e">
        <f>Infill[[#This Row],[g/t]]/AVERAGEIFS(Infill[g/t],Infill[Material Usage],"Normal")</f>
        <v>#DIV/0!</v>
      </c>
      <c r="AD31" s="2" t="e">
        <f>_xlfn.XLOOKUP(Infill[[#This Row],[g/t prom]],Rating[Max %],Rating[Name],,1)</f>
        <v>#DIV/0!</v>
      </c>
      <c r="AE31" s="2" t="str">
        <f>SUBSTITUTE(LOWER(Infill[[#This Row],[name]])," ","-")</f>
        <v/>
      </c>
      <c r="AG31" t="str">
        <f>"!["&amp;Infill[[#This Row],[SVG]]&amp;"](https://github.com/SoftFever/OrcaSlicer/blob/main/resources/images/"&amp;Infill[[#This Row],[SVG]]&amp;".svg?raw=true)"</f>
        <v>![](https://github.com/SoftFever/OrcaSlicer/blob/main/resources/images/.svg?raw=true)</v>
      </c>
      <c r="AH31" s="2" t="str">
        <f>"["&amp;Infill[[#This Row],[name]]&amp;"](#"&amp;Infill[[#This Row],[image]]&amp;")"</f>
        <v>[](#)</v>
      </c>
      <c r="AI31"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c>
      <c r="AJ31" t="str">
        <f>IF(OR(Infill[[#This Row],[Is Infill]],Infill[[#This Row],[Is Surface]])," { """&amp;Infill[[#This Row],[infill]]&amp;""", "&amp;Infill[[#This Row],[ip]]&amp;" },","")</f>
        <v/>
      </c>
      <c r="AK31" t="str">
        <f>IF(OR(Infill[[#This Row],[Is Infill]],Infill[[#This Row],[Is Surface]]),"def-&gt;enum_values.push_back("""&amp;Infill[[#This Row],[infill]]&amp;""");","")</f>
        <v/>
      </c>
      <c r="AL31" t="str">
        <f>IF(OR(Infill[[#This Row],[Is Infill]],Infill[[#This Row],[Is Surface]]),"def-&gt;enum_labels.push_back(L("""&amp;Infill[[#This Row],[name]]&amp;"""));","")</f>
        <v/>
      </c>
    </row>
  </sheetData>
  <phoneticPr fontId="2" type="noConversion"/>
  <conditionalFormatting sqref="W2:W31">
    <cfRule type="colorScale" priority="76">
      <colorScale>
        <cfvo type="min"/>
        <cfvo type="percentile" val="50"/>
        <cfvo type="max"/>
        <color rgb="FFF8696B"/>
        <color rgb="FFFFEB84"/>
        <color rgb="FF63BE7B"/>
      </colorScale>
    </cfRule>
  </conditionalFormatting>
  <conditionalFormatting sqref="Z2:Z31">
    <cfRule type="colorScale" priority="77">
      <colorScale>
        <cfvo type="min"/>
        <cfvo type="percentile" val="50"/>
        <cfvo type="max"/>
        <color rgb="FF63BE7B"/>
        <color rgb="FFFFEB84"/>
        <color rgb="FFF8696B"/>
      </colorScale>
    </cfRule>
  </conditionalFormatting>
  <conditionalFormatting sqref="AB2:AB31">
    <cfRule type="colorScale" priority="78">
      <colorScale>
        <cfvo type="min"/>
        <cfvo type="percentile" val="50"/>
        <cfvo type="max"/>
        <color rgb="FFF8696B"/>
        <color rgb="FFFFEB84"/>
        <color rgb="FF63BE7B"/>
      </colorScale>
    </cfRule>
  </conditionalFormatting>
  <conditionalFormatting sqref="AC2:AC31">
    <cfRule type="colorScale" priority="79">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2025-07-04T19:42:48Z</dcterms:modified>
</cp:coreProperties>
</file>